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ceability" sheetId="2" state="visible" r:id="rId4"/>
    <sheet name="Findings" sheetId="3" state="visible" r:id="rId5"/>
    <sheet name="Scans" sheetId="4" state="visible" r:id="rId6"/>
    <sheet name="Method" sheetId="5" state="visible" r:id="rId7"/>
    <sheet name="Specimen Reproduction" sheetId="6" state="visible" r:id="rId8"/>
  </sheets>
  <definedNames>
    <definedName function="false" hidden="true" localSheetId="2" name="_xlnm._FilterDatabase" vbProcedure="false">Findings!$A$4:$J$52</definedName>
    <definedName function="false" hidden="true" localSheetId="1" name="_xlnm._FilterDatabase" vbProcedure="false">Traceability!$A$4:$M$97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<sst xmlns="http://schemas.openxmlformats.org/spreadsheetml/2006/main" count="1776" uniqueCount="313">
  <si>
    <t xml:space="preserve">Chain Potential Score - Validated Chain Catalogue</t>
  </si>
  <si>
    <t xml:space="preserve">Every constituent finding was read from a completed Checkmarx One scan in tenant checkmarx-global-services-internal. Finding IDs are re-checkable via getFindingDetails(scan_id, finding_id). No chain contains a High or Critical finding.</t>
  </si>
  <si>
    <t xml:space="preserve">Chain ID</t>
  </si>
  <si>
    <t xml:space="preserve">Chain name</t>
  </si>
  <si>
    <t xml:space="preserve">Stack</t>
  </si>
  <si>
    <t xml:space="preserve">Findings</t>
  </si>
  <si>
    <t xml:space="preserve">Medium</t>
  </si>
  <si>
    <t xml:space="preserve">Low</t>
  </si>
  <si>
    <t xml:space="preserve">Info</t>
  </si>
  <si>
    <t xml:space="preserve">Chain CPS</t>
  </si>
  <si>
    <t xml:space="preserve">Band</t>
  </si>
  <si>
    <t xml:space="preserve">Source scan</t>
  </si>
  <si>
    <t xml:space="preserve">CH-101</t>
  </si>
  <si>
    <t xml:space="preserve">Predictable Session to Account Takeover (PHP)</t>
  </si>
  <si>
    <t xml:space="preserve">PHP</t>
  </si>
  <si>
    <t xml:space="preserve">High</t>
  </si>
  <si>
    <t xml:space="preserve">c389b5e7-34fc-4be6-821b-59cd647c7f0b</t>
  </si>
  <si>
    <t xml:space="preserve">CH-102</t>
  </si>
  <si>
    <t xml:space="preserve">Error-Leak to Credential Disclosure (Java)</t>
  </si>
  <si>
    <t xml:space="preserve">Java</t>
  </si>
  <si>
    <t xml:space="preserve">382c4fa6-5687-4b5a-8205-6ca91269c0fa</t>
  </si>
  <si>
    <t xml:space="preserve">CH-103</t>
  </si>
  <si>
    <t xml:space="preserve">Config Tamper to Arbitrary File Write (Java)</t>
  </si>
  <si>
    <t xml:space="preserve">CH-104</t>
  </si>
  <si>
    <t xml:space="preserve">Redirect to Token Theft (JavaScript / Node)</t>
  </si>
  <si>
    <t xml:space="preserve">JavaScript / Node</t>
  </si>
  <si>
    <t xml:space="preserve">b0fa38ca-d352-483a-9197-41f5e1dc0dec</t>
  </si>
  <si>
    <t xml:space="preserve">CH-105</t>
  </si>
  <si>
    <t xml:space="preserve">Container Escape Surface (cross-engine: SAST + IaC)</t>
  </si>
  <si>
    <t xml:space="preserve">Docker / Compose</t>
  </si>
  <si>
    <t xml:space="preserve">CH-106</t>
  </si>
  <si>
    <t xml:space="preserve">Informational-Only Chain to Silent Data Exfiltration</t>
  </si>
  <si>
    <t xml:space="preserve">CH-107</t>
  </si>
  <si>
    <t xml:space="preserve">Agent Tool-Path Error Disclosure (AI framework)</t>
  </si>
  <si>
    <t xml:space="preserve">Python / AI agent</t>
  </si>
  <si>
    <t xml:space="preserve">5797794c-4ea0-4553-a883-c908a6fec287</t>
  </si>
  <si>
    <t xml:space="preserve">CH-108</t>
  </si>
  <si>
    <t xml:space="preserve">Defence-in-Depth Erosion to Credentialed Session Ride</t>
  </si>
  <si>
    <t xml:space="preserve">CH-109</t>
  </si>
  <si>
    <t xml:space="preserve">Cloud Exfiltration Blindness (Terraform / AWS)</t>
  </si>
  <si>
    <t xml:space="preserve">Terraform / AWS / K8s</t>
  </si>
  <si>
    <t xml:space="preserve">b0b1dcd6-4cdc-4a3e-bb66-f689ec8e4999</t>
  </si>
  <si>
    <t xml:space="preserve">CH-110</t>
  </si>
  <si>
    <t xml:space="preserve">API Auth Weakening to Token Forgery</t>
  </si>
  <si>
    <t xml:space="preserve">Go</t>
  </si>
  <si>
    <t xml:space="preserve">2e83d245-5417-4076-a24e-34622e6fd073</t>
  </si>
  <si>
    <t xml:space="preserve">CH-111</t>
  </si>
  <si>
    <t xml:space="preserve">Cross-Site Forgery to Privileged State Change</t>
  </si>
  <si>
    <t xml:space="preserve">CH-112</t>
  </si>
  <si>
    <t xml:space="preserve">Error-Path Reconnaissance to Database Disclosure</t>
  </si>
  <si>
    <t xml:space="preserve">CH-113</t>
  </si>
  <si>
    <t xml:space="preserve">Token Prediction under Transport Downgrade</t>
  </si>
  <si>
    <t xml:space="preserve">CH-114</t>
  </si>
  <si>
    <t xml:space="preserve">Credential Lifetime Exposure</t>
  </si>
  <si>
    <t xml:space="preserve">Moderate</t>
  </si>
  <si>
    <t xml:space="preserve">CH-115</t>
  </si>
  <si>
    <t xml:space="preserve">Unaudited Privileged Configuration Change</t>
  </si>
  <si>
    <t xml:space="preserve">CH-116</t>
  </si>
  <si>
    <t xml:space="preserve">Temp-File Race to Report Substitution</t>
  </si>
  <si>
    <t xml:space="preserve">CH-117</t>
  </si>
  <si>
    <t xml:space="preserve">Diagnostic Surface Amplification</t>
  </si>
  <si>
    <t xml:space="preserve">CH-118</t>
  </si>
  <si>
    <t xml:space="preserve">Reverse Tabnabbing to Session Capture</t>
  </si>
  <si>
    <t xml:space="preserve">CH-119</t>
  </si>
  <si>
    <t xml:space="preserve">Unmonitored Container Exposure</t>
  </si>
  <si>
    <t xml:space="preserve">Docker</t>
  </si>
  <si>
    <t xml:space="preserve">CH-120</t>
  </si>
  <si>
    <t xml:space="preserve">Credentialed Image to Network Pivot</t>
  </si>
  <si>
    <t xml:space="preserve">CH-121</t>
  </si>
  <si>
    <t xml:space="preserve">Irrecoverable Data Loss Window</t>
  </si>
  <si>
    <t xml:space="preserve">Terraform / AWS</t>
  </si>
  <si>
    <t xml:space="preserve">CH-122</t>
  </si>
  <si>
    <t xml:space="preserve">Agent Session Replay</t>
  </si>
  <si>
    <t xml:space="preserve">TOTAL</t>
  </si>
  <si>
    <t xml:space="preserve">Constituent findings rated High or Critical:</t>
  </si>
  <si>
    <t xml:space="preserve">A finding may serve in more than one chain - that is composition, not duplication. The Findings sheet shows how many chains use each. Unique findings: see Findings sheet.</t>
  </si>
  <si>
    <t xml:space="preserve">Chain-to-finding traceability matrix</t>
  </si>
  <si>
    <t xml:space="preserve">One row per chain participant. 'Checkmarx finding ID' + 'Scan ID' locate the finding in the Checkmarx One report; 'Location' locates it in source.</t>
  </si>
  <si>
    <t xml:space="preserve">Chain role</t>
  </si>
  <si>
    <t xml:space="preserve">Query name (as Checkmarx emits it)</t>
  </si>
  <si>
    <t xml:space="preserve">Severity</t>
  </si>
  <si>
    <t xml:space="preserve">Engine</t>
  </si>
  <si>
    <t xml:space="preserve">Individual CPS</t>
  </si>
  <si>
    <t xml:space="preserve">CPS band</t>
  </si>
  <si>
    <t xml:space="preserve">Project</t>
  </si>
  <si>
    <t xml:space="preserve">Scan ID</t>
  </si>
  <si>
    <t xml:space="preserve">Checkmarx finding ID</t>
  </si>
  <si>
    <t xml:space="preserve">Location (file:line)</t>
  </si>
  <si>
    <t xml:space="preserve">L2 Bridge</t>
  </si>
  <si>
    <t xml:space="preserve">Use of Insufficiently Random Values</t>
  </si>
  <si>
    <t xml:space="preserve">SAST</t>
  </si>
  <si>
    <t xml:space="preserve">cx-andy-schmit/dvwa</t>
  </si>
  <si>
    <t xml:space="preserve">0cKWgAwBbW5DRBdAsAtFgWlDSps=</t>
  </si>
  <si>
    <t xml:space="preserve">/vulnerabilities/weak_id/index.php:17</t>
  </si>
  <si>
    <t xml:space="preserve">Broken_or_Risky_Hashing_Function</t>
  </si>
  <si>
    <t xml:space="preserve">1vhAEfdo6gX4o01jNtoWlL+5pFw=</t>
  </si>
  <si>
    <t xml:space="preserve">/vulnerabilities/brute/source/impossible.php:16</t>
  </si>
  <si>
    <t xml:space="preserve">L3 Amplifier</t>
  </si>
  <si>
    <t xml:space="preserve">Insecure_Value_of_the_SameSite_Cookie_Attribute</t>
  </si>
  <si>
    <t xml:space="preserve">38KP0fXVsu0eaztrIE7FQMvcz3M=</t>
  </si>
  <si>
    <t xml:space="preserve">/vulnerabilities/weak_id/source/low.php:11</t>
  </si>
  <si>
    <t xml:space="preserve">Cookie_Overly_Broad_Path</t>
  </si>
  <si>
    <t xml:space="preserve">fJwgEKiARdqTuc14ELI/eHWQNSE=</t>
  </si>
  <si>
    <t xml:space="preserve">L1 Signal</t>
  </si>
  <si>
    <t xml:space="preserve">Use_of_Non_Cryptographic_Random</t>
  </si>
  <si>
    <t xml:space="preserve">9nyPzW//SeMEwPhgCqv0U/sDuzg=</t>
  </si>
  <si>
    <t xml:space="preserve">/vulnerabilities/weak_id/source/impossible.php:6</t>
  </si>
  <si>
    <t xml:space="preserve">Information_Exposure_Through_Query_String</t>
  </si>
  <si>
    <t xml:space="preserve">cx-carolyn-yates/JavaVulnerableLab</t>
  </si>
  <si>
    <t xml:space="preserve">tgntZzrWo1jl7GbAn6d9U92okIU=</t>
  </si>
  <si>
    <t xml:space="preserve">/src/main/java/org/cysecurity/cspf/jvl/controller/Install.java:57</t>
  </si>
  <si>
    <t xml:space="preserve">Exposure of Sensitive Information to an Unauthorized Actor</t>
  </si>
  <si>
    <t xml:space="preserve">odE2Z3LeAPVEmVcBoqlnC+wBjkc=</t>
  </si>
  <si>
    <t xml:space="preserve">/src/main/webapp/ForgotPassword.jsp:10</t>
  </si>
  <si>
    <t xml:space="preserve">Privacy_Violation</t>
  </si>
  <si>
    <t xml:space="preserve">qJaqS2qGP2h7Yg1/u45ItVUL1F0=</t>
  </si>
  <si>
    <t xml:space="preserve">/src/main/java/org/cysecurity/cspf/jvl/controller/XPathQuery.java:50</t>
  </si>
  <si>
    <t xml:space="preserve">Information_Exposure_Through_an_Error_Message</t>
  </si>
  <si>
    <t xml:space="preserve">467161</t>
  </si>
  <si>
    <t xml:space="preserve">/src/main/java/org/cysecurity/cspf/jvl/controller/EmailCheck.java:60</t>
  </si>
  <si>
    <t xml:space="preserve">Heap_Inspection</t>
  </si>
  <si>
    <t xml:space="preserve">67831</t>
  </si>
  <si>
    <t xml:space="preserve">/src/main/java/org/cysecurity/cspf/jvl/controller/LoginValidator.java:44</t>
  </si>
  <si>
    <t xml:space="preserve">External_Control_of_System_or_Config_Setting</t>
  </si>
  <si>
    <t xml:space="preserve">117621</t>
  </si>
  <si>
    <t xml:space="preserve">Parameter_Tampering</t>
  </si>
  <si>
    <t xml:space="preserve">oLhf1Sa69rpDxNtxDtYOlWclNgs=</t>
  </si>
  <si>
    <t xml:space="preserve">/src/main/java/org/cysecurity/cspf/jvl/controller/EmailCheck.java:42</t>
  </si>
  <si>
    <t xml:space="preserve">Stored_Relative_Path_Traversal</t>
  </si>
  <si>
    <t xml:space="preserve">pCeSA+Se0EWYdLfztdcz5VMoa4s=</t>
  </si>
  <si>
    <t xml:space="preserve">/src/main/webapp/vulnerability/sqli/download_id_union.jsp:24</t>
  </si>
  <si>
    <t xml:space="preserve">Creation_of_Temp_File_in_Dir_with_Incorrect_Permissions</t>
  </si>
  <si>
    <t xml:space="preserve">ppKpfm8TZs9xeAZbkQZ8YK2YDt4=</t>
  </si>
  <si>
    <t xml:space="preserve">/src/main/java/org/cysecurity/cspf/jvl/controller/AddPage.java:45</t>
  </si>
  <si>
    <t xml:space="preserve">Race_Condition</t>
  </si>
  <si>
    <t xml:space="preserve">MLft8mwUe92v5D6e6BOWNT+gC90=</t>
  </si>
  <si>
    <t xml:space="preserve">/src/main/java/org/cysecurity/cspf/jvl/controller/Install.java:59</t>
  </si>
  <si>
    <t xml:space="preserve">Open_Redirect</t>
  </si>
  <si>
    <t xml:space="preserve">OWASP/NodeGoat Demo</t>
  </si>
  <si>
    <t xml:space="preserve">/dnIdCbf68zHdxSQp2JaS1OJKzc=</t>
  </si>
  <si>
    <t xml:space="preserve">/NodeGoat-master/app/routes/index.js:72</t>
  </si>
  <si>
    <t xml:space="preserve">Missing_HSTS_Header</t>
  </si>
  <si>
    <t xml:space="preserve">hm7Z3uvUdX4eYqPsqP0g1+nBdAg=</t>
  </si>
  <si>
    <t xml:space="preserve">/NodeGoat-master/app/routes/allocations.js:25</t>
  </si>
  <si>
    <t xml:space="preserve">Missing_CSP_Header</t>
  </si>
  <si>
    <t xml:space="preserve">/aEsdK5ud63aXPZ7wiuUUMjW3z0=</t>
  </si>
  <si>
    <t xml:space="preserve">Unsafe_Use_Of_Target_blank</t>
  </si>
  <si>
    <t xml:space="preserve">8606084</t>
  </si>
  <si>
    <t xml:space="preserve">/NodeGoat-master/app/views/tutorial/a7.html:31</t>
  </si>
  <si>
    <t xml:space="preserve">Log_Forging</t>
  </si>
  <si>
    <t xml:space="preserve">jV5Jfp7QHotJ/S1rIqQstuRJCZ8=</t>
  </si>
  <si>
    <t xml:space="preserve">/NodeGoat-master/app/routes/session.js:57</t>
  </si>
  <si>
    <t xml:space="preserve">Use_Of_Hardcoded_Password</t>
  </si>
  <si>
    <t xml:space="preserve">6cZYX5Wlml3T9zR0xiuyTLYhFBI=</t>
  </si>
  <si>
    <t xml:space="preserve">/NodeGoat-master/artifacts/db-reset.js:27</t>
  </si>
  <si>
    <t xml:space="preserve">Container Capabilities Unrestricted</t>
  </si>
  <si>
    <t xml:space="preserve">IaC</t>
  </si>
  <si>
    <t xml:space="preserve">6KfFKsfD633WAC53IIyANWDnYhg=</t>
  </si>
  <si>
    <t xml:space="preserve">Security Opt Not Set</t>
  </si>
  <si>
    <t xml:space="preserve">15674550</t>
  </si>
  <si>
    <t xml:space="preserve">Container Traffic Not Bound To Host Interface</t>
  </si>
  <si>
    <t xml:space="preserve">15674535</t>
  </si>
  <si>
    <t xml:space="preserve">Healthcheck Instruction Missing</t>
  </si>
  <si>
    <t xml:space="preserve">Negligible</t>
  </si>
  <si>
    <t xml:space="preserve">15674561</t>
  </si>
  <si>
    <t xml:space="preserve">Dynamic_SQL_Queries</t>
  </si>
  <si>
    <t xml:space="preserve">Information</t>
  </si>
  <si>
    <t xml:space="preserve">0XBp02QSHGEql4giNp73keCA3Es=</t>
  </si>
  <si>
    <t xml:space="preserve">/src/main/java/org/cysecurity/cspf/jvl/controller/LoginValidator.java:52</t>
  </si>
  <si>
    <t xml:space="preserve">Insufficient_Logging_of_Database_Actions</t>
  </si>
  <si>
    <t xml:space="preserve">12jj98OpDWTFsrU0lpG1XUagp/Y=</t>
  </si>
  <si>
    <t xml:space="preserve">/src/main/webapp/vulnerability/idor/change-email.jsp:32</t>
  </si>
  <si>
    <t xml:space="preserve">Pages_Without_Global_Error_Handler</t>
  </si>
  <si>
    <t xml:space="preserve">0tZuTNbFjEN8ykwCCIAbRU3KNJA=</t>
  </si>
  <si>
    <t xml:space="preserve">/src/main/webapp/admin/admin.jsp:1</t>
  </si>
  <si>
    <t xml:space="preserve">Unchecked_Error_Condition</t>
  </si>
  <si>
    <t xml:space="preserve">3iWHH6gMkWJLKli9QiunyCCQIG0=</t>
  </si>
  <si>
    <t xml:space="preserve">/src/main/java/org/cysecurity/cspf/jvl/controller/Logout.java:42</t>
  </si>
  <si>
    <t xml:space="preserve">Use_of_System_Output_Stream</t>
  </si>
  <si>
    <t xml:space="preserve">0APbv9DRr/LUAZserU2/2fSPWus=</t>
  </si>
  <si>
    <t xml:space="preserve">/src/main/webapp/vulnerability/DisplayMessage.jsp:35</t>
  </si>
  <si>
    <t xml:space="preserve">Object_Access_Violation</t>
  </si>
  <si>
    <t xml:space="preserve">AISC_openai_agents_python</t>
  </si>
  <si>
    <t xml:space="preserve">p9H+6K7MHD/gKWBQ699t5SEO4Pw=</t>
  </si>
  <si>
    <t xml:space="preserve">/src/agents/tool.py:1284</t>
  </si>
  <si>
    <t xml:space="preserve">gPZSEBzeEMW5I9wlkSoHqZvh4eQ=</t>
  </si>
  <si>
    <t xml:space="preserve">/src/agents/mcp/util.py:296</t>
  </si>
  <si>
    <t xml:space="preserve">FRtCxgpOBDPuQtV+qNVxGbJ97BQ=</t>
  </si>
  <si>
    <t xml:space="preserve">/src/agents/run_internal/tool_actions.py:130</t>
  </si>
  <si>
    <t xml:space="preserve">NwUJPu9T7HKfoPXIvLPqn011OpM=</t>
  </si>
  <si>
    <t xml:space="preserve">/src/agents/run_internal/session_persistence.py:479</t>
  </si>
  <si>
    <t xml:space="preserve">32+Yo0mzZGU30FIJH3+Qi0oLngA=</t>
  </si>
  <si>
    <t xml:space="preserve">/src/agents/tracing/provider.py:95</t>
  </si>
  <si>
    <t xml:space="preserve">CSRF</t>
  </si>
  <si>
    <t xml:space="preserve">4BCo3G3gAni7aAzcVLnCbb++xpg=</t>
  </si>
  <si>
    <t xml:space="preserve">/vulnerabilities/captcha/source/low.php:50</t>
  </si>
  <si>
    <t xml:space="preserve">3/YbcHdUmUIGhxgUr09l+gcwZ+Q=</t>
  </si>
  <si>
    <t xml:space="preserve">/dvwa/includes/DBMS/MySQL.php:88</t>
  </si>
  <si>
    <t xml:space="preserve">2W4LMHcT/vSld6tCtqrQExOCVcU=</t>
  </si>
  <si>
    <t xml:space="preserve">/dvwa/includes/dvwaPage.inc.php:305</t>
  </si>
  <si>
    <t xml:space="preserve">Improper_Exception_Handling</t>
  </si>
  <si>
    <t xml:space="preserve">d77SUqnw0wzXqYjeIVARjEytQPI=</t>
  </si>
  <si>
    <t xml:space="preserve">/login.php:40</t>
  </si>
  <si>
    <t xml:space="preserve">EdyXCoeD22Z/MViCkGTdzWwMps8=</t>
  </si>
  <si>
    <t xml:space="preserve">/vulnerabilities/sqli/source/low.php:35</t>
  </si>
  <si>
    <t xml:space="preserve">IAM policy allows for data exfiltration</t>
  </si>
  <si>
    <t xml:space="preserve">owasp-juice-lab</t>
  </si>
  <si>
    <t xml:space="preserve">+cWUkE7MhVo3DkGLtob6BXUj170=</t>
  </si>
  <si>
    <t xml:space="preserve">terraform</t>
  </si>
  <si>
    <t xml:space="preserve">S3 Bucket Logging Disabled</t>
  </si>
  <si>
    <t xml:space="preserve">WJLKWg3/3bbFGgwtObNBALFUr80=</t>
  </si>
  <si>
    <t xml:space="preserve">RDS Without Logging</t>
  </si>
  <si>
    <t xml:space="preserve">4ExYdis3eWtB5PiJRYcz0Tdyk84=</t>
  </si>
  <si>
    <t xml:space="preserve">RDS With Backup Disabled</t>
  </si>
  <si>
    <t xml:space="preserve">h/70jVGCxBzxMlBzM360MISgzp4=</t>
  </si>
  <si>
    <t xml:space="preserve">Using Unrecommended Namespace</t>
  </si>
  <si>
    <t xml:space="preserve">Ojwf0eSDnF/hKou1A1UO7S4L3/c=</t>
  </si>
  <si>
    <t xml:space="preserve">kubernetes</t>
  </si>
  <si>
    <t xml:space="preserve">Use_of_Hardcoded_Password</t>
  </si>
  <si>
    <t xml:space="preserve">cx-jeremy-polansky/authlab-canary</t>
  </si>
  <si>
    <t xml:space="preserve">0Bq5qFb+uLA1haKPGSpCur2jTAM=</t>
  </si>
  <si>
    <t xml:space="preserve">/app/controllers/app.go:213</t>
  </si>
  <si>
    <t xml:space="preserve">Client_Weak_Cryptographic_Hash</t>
  </si>
  <si>
    <t xml:space="preserve">dDFtmyvQUkjW8MvNhYJFe1jcEMI=</t>
  </si>
  <si>
    <t xml:space="preserve">/public/js/clientside.js:113</t>
  </si>
  <si>
    <t xml:space="preserve">JWT_No_Claims_Directives_Validation</t>
  </si>
  <si>
    <t xml:space="preserve">d8VLX0/ssa9zVdKaddCJrd6Lklo=</t>
  </si>
  <si>
    <t xml:space="preserve">/app/controllers/app.go:396</t>
  </si>
  <si>
    <t xml:space="preserve">Unique findings used across the catalogue</t>
  </si>
  <si>
    <t xml:space="preserve">Deduplicated by Checkmarx finding ID. 'Chains using' counts participation across the catalogue.</t>
  </si>
  <si>
    <t xml:space="preserve">Query name</t>
  </si>
  <si>
    <t xml:space="preserve">Chains using</t>
  </si>
  <si>
    <t xml:space="preserve">Unique findings</t>
  </si>
  <si>
    <t xml:space="preserve">Source scan provenance</t>
  </si>
  <si>
    <t xml:space="preserve">Tenant: checkmarx-global-services-internal. All scans completed; findings read via the Checkmarx MCP on 2026-08-01.</t>
  </si>
  <si>
    <t xml:space="preserve">Scan totals (C / H / M / L / Info)</t>
  </si>
  <si>
    <t xml:space="preserve">Findings used</t>
  </si>
  <si>
    <t xml:space="preserve">Chains sourced</t>
  </si>
  <si>
    <t xml:space="preserve">410 total - 59 C, 104 H, 86 M, 45 L, 116 Info</t>
  </si>
  <si>
    <t xml:space="preserve">860 total - 124 C, 119 H, 178 M, 133 L, 306 Info</t>
  </si>
  <si>
    <t xml:space="preserve">JavaScript / Docker</t>
  </si>
  <si>
    <t xml:space="preserve">687 total - 84 C, 300 H, 246 M, 55 L, 2 Info</t>
  </si>
  <si>
    <t xml:space="preserve">48 total - 16 C, 7 H, 1 M, 23 L, 1 Info</t>
  </si>
  <si>
    <t xml:space="preserve">55 total - 3 C, 12 H, 16 M, 15 L, 9 Info</t>
  </si>
  <si>
    <t xml:space="preserve">57 total - 12 C, 24 H, 17 M, 4 L</t>
  </si>
  <si>
    <t xml:space="preserve">The 'Scan totals' column is the argument: a severity-ordered backlog reaches these chains only after clearing every Critical and High above them. For the Informational-only chain (CH-106) that means clearing all 554 Critical/High/Medium/Low findings first.</t>
  </si>
  <si>
    <t xml:space="preserve">Method, scoring model and verification</t>
  </si>
  <si>
    <t xml:space="preserve">Scoring model</t>
  </si>
  <si>
    <t xml:space="preserve">Each finding is scored 0-4 on five dimensions, weighted, then normalised to 0-10.</t>
  </si>
  <si>
    <t xml:space="preserve">Dimension</t>
  </si>
  <si>
    <t xml:space="preserve">Weight</t>
  </si>
  <si>
    <t xml:space="preserve">Prevalence</t>
  </si>
  <si>
    <t xml:space="preserve">Chain Utility</t>
  </si>
  <si>
    <t xml:space="preserve">AI Leverage</t>
  </si>
  <si>
    <t xml:space="preserve">Blast Radius</t>
  </si>
  <si>
    <t xml:space="preserve">Impact Proximity</t>
  </si>
  <si>
    <t xml:space="preserve">Per-finding CPS</t>
  </si>
  <si>
    <t xml:space="preserve">(10/4) x weighted sum of the five dimension scores</t>
  </si>
  <si>
    <t xml:space="preserve">max(individual scores) + 0.1 x sum(remaining scores), capped at 10.0</t>
  </si>
  <si>
    <t xml:space="preserve">Bands</t>
  </si>
  <si>
    <t xml:space="preserve">0-2.5 Negligible | 2.6-5.0 Low | 5.1-7.5 Moderate | 7.6-10.0 High</t>
  </si>
  <si>
    <t xml:space="preserve">Method</t>
  </si>
  <si>
    <t xml:space="preserve">1. Survey</t>
  </si>
  <si>
    <t xml:space="preserve">Query inventory read live from the tenant across PHP, Java, JavaScript, Go and Python presets, plus KICS and SCA.</t>
  </si>
  <si>
    <t xml:space="preserve">2. Select</t>
  </si>
  <si>
    <t xml:space="preserve">Chains assembled only from findings that already existed, at the severity Checkmarx had already assigned. No prediction step.</t>
  </si>
  <si>
    <t xml:space="preserve">3. Score</t>
  </si>
  <si>
    <t xml:space="preserve">Five-dimension rubric, aggregated by the chain formula above.</t>
  </si>
  <si>
    <t xml:space="preserve">4. Verify</t>
  </si>
  <si>
    <t xml:space="preserve">Each chain re-matched against its own scan's findings. A guard test fails the build if any High or Critical enters a chain. A negative control confirms each fixture assembles only its own chains.</t>
  </si>
  <si>
    <t xml:space="preserve">Verification</t>
  </si>
  <si>
    <t xml:space="preserve">Automated tests</t>
  </si>
  <si>
    <t xml:space="preserve">36 covering parser shapes, scorer dispatch, chain assembly, path scoping and the no-High guard.</t>
  </si>
  <si>
    <t xml:space="preserve">Re-check any row</t>
  </si>
  <si>
    <t xml:space="preserve">getFindingDetails(scan_id, finding_id) using the Traceability sheet columns K and L.</t>
  </si>
  <si>
    <t xml:space="preserve">Notes on composition</t>
  </si>
  <si>
    <t xml:space="preserve">Shared findings</t>
  </si>
  <si>
    <t xml:space="preserve">A finding may participate in several chains. Composition, not duplication - the Findings sheet counts participation.</t>
  </si>
  <si>
    <t xml:space="preserve">Moderate-band chains</t>
  </si>
  <si>
    <t xml:space="preserve">Three chains land in the Moderate band rather than High. They are retained deliberately: the framework grades chains, it does not assert that every chain is critical.</t>
  </si>
  <si>
    <t xml:space="preserve">Severity is preset-dependent</t>
  </si>
  <si>
    <t xml:space="preserve">The same query can carry different severities in different language presets - e.g. Use of Insufficiently Random Values is Medium in PHP and Low in JavaScript. Severity is bound to (query, language).</t>
  </si>
  <si>
    <t xml:space="preserve">Query names vary</t>
  </si>
  <si>
    <t xml:space="preserve">Casing and wording vary across presets and even within one scan. Matching requires normalisation.</t>
  </si>
  <si>
    <t xml:space="preserve">Nexa Commerce - single-codebase reproduction</t>
  </si>
  <si>
    <t xml:space="preserve">The chains above were observed across six separate applications. Nexa Commerce is a purpose-built polyglot e-commerce specimen intended to reproduce them in one repository. Status below is from scan cc434dd7 (repo github.com/cxsmtp/CPS-DEMO, commit 1a27a7d, v1).</t>
  </si>
  <si>
    <t xml:space="preserve">Chain</t>
  </si>
  <si>
    <t xml:space="preserve">Query reproduced</t>
  </si>
  <si>
    <t xml:space="preserve">Severity observed</t>
  </si>
  <si>
    <t xml:space="preserve">Location in specimen</t>
  </si>
  <si>
    <t xml:space="preserve">Status</t>
  </si>
  <si>
    <t xml:space="preserve">storefront/public/cart.php:25</t>
  </si>
  <si>
    <t xml:space="preserve">Reproduced</t>
  </si>
  <si>
    <t xml:space="preserve">catalog-service/.../CatalogServlet.java:34</t>
  </si>
  <si>
    <t xml:space="preserve">catalog-service/.../ConfigServlet.java:44</t>
  </si>
  <si>
    <t xml:space="preserve">Creation_of_Temp_File_With_Insecure_Permissions</t>
  </si>
  <si>
    <t xml:space="preserve">catalog-service/.../ReportBuilder.java:59</t>
  </si>
  <si>
    <t xml:space="preserve">Reproduced (query name differs from source scan)</t>
  </si>
  <si>
    <t xml:space="preserve">web-gateway/src/server.js:86</t>
  </si>
  <si>
    <t xml:space="preserve">web-gateway/src/server.js:69, 85</t>
  </si>
  <si>
    <t xml:space="preserve">ops/seed/seed.js:15</t>
  </si>
  <si>
    <t xml:space="preserve">auth-service/public/js/checkout.js:54</t>
  </si>
  <si>
    <t xml:space="preserve">Reproduced in v1</t>
  </si>
  <si>
    <t xml:space="preserve">9 of 48 constituent findings, each at the predicted severity in the predicted file.</t>
  </si>
  <si>
    <t xml:space="preserve">Defects found in v1</t>
  </si>
  <si>
    <t xml:space="preserve">Two, both in the specimen and both fixed in v2: a Critical Stored_XSS from streaming a template file to the HTTP response, and a High Plain_Text_Transport_Layer_in_Server from a non-TLS Go listener.</t>
  </si>
  <si>
    <t xml:space="preserve">Cause of misses (1)</t>
  </si>
  <si>
    <t xml:space="preserve">Python used str.format() where the reference framework uses f-strings; Checkmarx taint tracking follows the f-string interpolation.</t>
  </si>
  <si>
    <t xml:space="preserve">Cause of misses (2)</t>
  </si>
  <si>
    <t xml:space="preserve">Java read input via request.getAttribute(), which is not a taint source. Corrected to request.getParameter().</t>
  </si>
  <si>
    <t xml:space="preserve">Cause of misses (3)</t>
  </si>
  <si>
    <t xml:space="preserve">PHP patterns sat in lib/ includes; in this tenant the PHP preset reports at the entry-point page, not inside the include.</t>
  </si>
  <si>
    <t xml:space="preserve">v2 patches written and packaged; awaiting push and re-scan.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</si>
</sst>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D5D5"/>
        <bgColor rgb="FFFFE7CE"/>
      </patternFill>
    </fill>
    <fill>
      <patternFill patternType="solid">
        <fgColor rgb="FFFFF2CC"/>
        <bgColor rgb="FFFFE7CE"/>
      </patternFill>
    </fill>
    <fill>
      <patternFill patternType="solid">
        <fgColor rgb="FFFFE7CE"/>
        <bgColor rgb="FFFFF2CC"/>
      </patternFill>
    </fill>
    <fill>
      <patternFill patternType="solid">
        <fgColor rgb="FFEDEDED"/>
        <bgColor rgb="FFE2EFF7"/>
      </patternFill>
    </fill>
    <fill>
      <patternFill patternType="solid">
        <fgColor rgb="FFE2EF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7CE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E7CE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1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6" t="n">
        <f aca="false">COUNTIF(Traceability!$A:$A,$A5)</f>
        <v>5</v>
      </c>
      <c r="E5" s="5" t="n">
        <f aca="false">COUNTIFS(Traceability!$A:$A,$A5,Traceability!$F:$F,"Medium")</f>
        <v>3</v>
      </c>
      <c r="F5" s="5" t="n">
        <f aca="false">COUNTIFS(Traceability!$A:$A,$A5,Traceability!$F:$F,"Low")</f>
        <v>2</v>
      </c>
      <c r="G5" s="5" t="n">
        <f aca="false">COUNTIFS(Traceability!$A:$A,$A5,Traceability!$F:$F,"Information")</f>
        <v>0</v>
      </c>
      <c r="H5" s="7" t="n">
        <v>10</v>
      </c>
      <c r="I5" s="8" t="s">
        <v>15</v>
      </c>
      <c r="J5" s="9" t="s">
        <v>16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s">
        <v>19</v>
      </c>
      <c r="D6" s="6" t="n">
        <f aca="false">COUNTIF(Traceability!$A:$A,$A6)</f>
        <v>5</v>
      </c>
      <c r="E6" s="5" t="n">
        <f aca="false">COUNTIFS(Traceability!$A:$A,$A6,Traceability!$F:$F,"Medium")</f>
        <v>3</v>
      </c>
      <c r="F6" s="5" t="n">
        <f aca="false">COUNTIFS(Traceability!$A:$A,$A6,Traceability!$F:$F,"Low")</f>
        <v>2</v>
      </c>
      <c r="G6" s="5" t="n">
        <f aca="false">COUNTIFS(Traceability!$A:$A,$A6,Traceability!$F:$F,"Information")</f>
        <v>0</v>
      </c>
      <c r="H6" s="7" t="n">
        <v>9.49</v>
      </c>
      <c r="I6" s="8" t="s">
        <v>15</v>
      </c>
      <c r="J6" s="9" t="s">
        <v>20</v>
      </c>
    </row>
    <row r="7" customFormat="false" ht="15" hidden="false" customHeight="false" outlineLevel="0" collapsed="false">
      <c r="A7" s="4" t="s">
        <v>21</v>
      </c>
      <c r="B7" s="5" t="s">
        <v>22</v>
      </c>
      <c r="C7" s="5" t="s">
        <v>19</v>
      </c>
      <c r="D7" s="6" t="n">
        <f aca="false">COUNTIF(Traceability!$A:$A,$A7)</f>
        <v>5</v>
      </c>
      <c r="E7" s="5" t="n">
        <f aca="false">COUNTIFS(Traceability!$A:$A,$A7,Traceability!$F:$F,"Medium")</f>
        <v>3</v>
      </c>
      <c r="F7" s="5" t="n">
        <f aca="false">COUNTIFS(Traceability!$A:$A,$A7,Traceability!$F:$F,"Low")</f>
        <v>2</v>
      </c>
      <c r="G7" s="5" t="n">
        <f aca="false">COUNTIFS(Traceability!$A:$A,$A7,Traceability!$F:$F,"Information")</f>
        <v>0</v>
      </c>
      <c r="H7" s="7" t="n">
        <v>9.96</v>
      </c>
      <c r="I7" s="8" t="s">
        <v>15</v>
      </c>
      <c r="J7" s="9" t="s">
        <v>20</v>
      </c>
    </row>
    <row r="8" customFormat="false" ht="15" hidden="false" customHeight="false" outlineLevel="0" collapsed="false">
      <c r="A8" s="4" t="s">
        <v>23</v>
      </c>
      <c r="B8" s="5" t="s">
        <v>24</v>
      </c>
      <c r="C8" s="5" t="s">
        <v>25</v>
      </c>
      <c r="D8" s="6" t="n">
        <f aca="false">COUNTIF(Traceability!$A:$A,$A8)</f>
        <v>5</v>
      </c>
      <c r="E8" s="5" t="n">
        <f aca="false">COUNTIFS(Traceability!$A:$A,$A8,Traceability!$F:$F,"Medium")</f>
        <v>2</v>
      </c>
      <c r="F8" s="5" t="n">
        <f aca="false">COUNTIFS(Traceability!$A:$A,$A8,Traceability!$F:$F,"Low")</f>
        <v>3</v>
      </c>
      <c r="G8" s="5" t="n">
        <f aca="false">COUNTIFS(Traceability!$A:$A,$A8,Traceability!$F:$F,"Information")</f>
        <v>0</v>
      </c>
      <c r="H8" s="7" t="n">
        <v>9.14</v>
      </c>
      <c r="I8" s="8" t="s">
        <v>15</v>
      </c>
      <c r="J8" s="9" t="s">
        <v>26</v>
      </c>
    </row>
    <row r="9" customFormat="false" ht="15" hidden="false" customHeight="false" outlineLevel="0" collapsed="false">
      <c r="A9" s="4" t="s">
        <v>27</v>
      </c>
      <c r="B9" s="5" t="s">
        <v>28</v>
      </c>
      <c r="C9" s="5" t="s">
        <v>29</v>
      </c>
      <c r="D9" s="6" t="n">
        <f aca="false">COUNTIF(Traceability!$A:$A,$A9)</f>
        <v>5</v>
      </c>
      <c r="E9" s="5" t="n">
        <f aca="false">COUNTIFS(Traceability!$A:$A,$A9,Traceability!$F:$F,"Medium")</f>
        <v>4</v>
      </c>
      <c r="F9" s="5" t="n">
        <f aca="false">COUNTIFS(Traceability!$A:$A,$A9,Traceability!$F:$F,"Low")</f>
        <v>1</v>
      </c>
      <c r="G9" s="5" t="n">
        <f aca="false">COUNTIFS(Traceability!$A:$A,$A9,Traceability!$F:$F,"Information")</f>
        <v>0</v>
      </c>
      <c r="H9" s="7" t="n">
        <v>9.25</v>
      </c>
      <c r="I9" s="8" t="s">
        <v>15</v>
      </c>
      <c r="J9" s="9" t="s">
        <v>26</v>
      </c>
    </row>
    <row r="10" customFormat="false" ht="15" hidden="false" customHeight="false" outlineLevel="0" collapsed="false">
      <c r="A10" s="4" t="s">
        <v>30</v>
      </c>
      <c r="B10" s="5" t="s">
        <v>31</v>
      </c>
      <c r="C10" s="5" t="s">
        <v>19</v>
      </c>
      <c r="D10" s="6" t="n">
        <f aca="false">COUNTIF(Traceability!$A:$A,$A10)</f>
        <v>5</v>
      </c>
      <c r="E10" s="5" t="n">
        <f aca="false">COUNTIFS(Traceability!$A:$A,$A10,Traceability!$F:$F,"Medium")</f>
        <v>0</v>
      </c>
      <c r="F10" s="5" t="n">
        <f aca="false">COUNTIFS(Traceability!$A:$A,$A10,Traceability!$F:$F,"Low")</f>
        <v>0</v>
      </c>
      <c r="G10" s="5" t="n">
        <f aca="false">COUNTIFS(Traceability!$A:$A,$A10,Traceability!$F:$F,"Information")</f>
        <v>5</v>
      </c>
      <c r="H10" s="7" t="n">
        <v>9.15</v>
      </c>
      <c r="I10" s="8" t="s">
        <v>15</v>
      </c>
      <c r="J10" s="9" t="s">
        <v>20</v>
      </c>
    </row>
    <row r="11" customFormat="false" ht="15" hidden="false" customHeight="false" outlineLevel="0" collapsed="false">
      <c r="A11" s="4" t="s">
        <v>32</v>
      </c>
      <c r="B11" s="5" t="s">
        <v>33</v>
      </c>
      <c r="C11" s="5" t="s">
        <v>34</v>
      </c>
      <c r="D11" s="6" t="n">
        <f aca="false">COUNTIF(Traceability!$A:$A,$A11)</f>
        <v>5</v>
      </c>
      <c r="E11" s="5" t="n">
        <f aca="false">COUNTIFS(Traceability!$A:$A,$A11,Traceability!$F:$F,"Medium")</f>
        <v>1</v>
      </c>
      <c r="F11" s="5" t="n">
        <f aca="false">COUNTIFS(Traceability!$A:$A,$A11,Traceability!$F:$F,"Low")</f>
        <v>4</v>
      </c>
      <c r="G11" s="5" t="n">
        <f aca="false">COUNTIFS(Traceability!$A:$A,$A11,Traceability!$F:$F,"Information")</f>
        <v>0</v>
      </c>
      <c r="H11" s="7" t="n">
        <v>9.78</v>
      </c>
      <c r="I11" s="8" t="s">
        <v>15</v>
      </c>
      <c r="J11" s="9" t="s">
        <v>35</v>
      </c>
    </row>
    <row r="12" customFormat="false" ht="15" hidden="false" customHeight="false" outlineLevel="0" collapsed="false">
      <c r="A12" s="4" t="s">
        <v>36</v>
      </c>
      <c r="B12" s="5" t="s">
        <v>37</v>
      </c>
      <c r="C12" s="5" t="s">
        <v>14</v>
      </c>
      <c r="D12" s="6" t="n">
        <f aca="false">COUNTIF(Traceability!$A:$A,$A12)</f>
        <v>5</v>
      </c>
      <c r="E12" s="5" t="n">
        <f aca="false">COUNTIFS(Traceability!$A:$A,$A12,Traceability!$F:$F,"Medium")</f>
        <v>3</v>
      </c>
      <c r="F12" s="5" t="n">
        <f aca="false">COUNTIFS(Traceability!$A:$A,$A12,Traceability!$F:$F,"Low")</f>
        <v>2</v>
      </c>
      <c r="G12" s="5" t="n">
        <f aca="false">COUNTIFS(Traceability!$A:$A,$A12,Traceability!$F:$F,"Information")</f>
        <v>0</v>
      </c>
      <c r="H12" s="7" t="n">
        <v>9.24</v>
      </c>
      <c r="I12" s="8" t="s">
        <v>15</v>
      </c>
      <c r="J12" s="9" t="s">
        <v>16</v>
      </c>
    </row>
    <row r="13" customFormat="false" ht="15" hidden="false" customHeight="false" outlineLevel="0" collapsed="false">
      <c r="A13" s="4" t="s">
        <v>38</v>
      </c>
      <c r="B13" s="5" t="s">
        <v>39</v>
      </c>
      <c r="C13" s="5" t="s">
        <v>40</v>
      </c>
      <c r="D13" s="6" t="n">
        <f aca="false">COUNTIF(Traceability!$A:$A,$A13)</f>
        <v>5</v>
      </c>
      <c r="E13" s="5" t="n">
        <f aca="false">COUNTIFS(Traceability!$A:$A,$A13,Traceability!$F:$F,"Medium")</f>
        <v>5</v>
      </c>
      <c r="F13" s="5" t="n">
        <f aca="false">COUNTIFS(Traceability!$A:$A,$A13,Traceability!$F:$F,"Low")</f>
        <v>0</v>
      </c>
      <c r="G13" s="5" t="n">
        <f aca="false">COUNTIFS(Traceability!$A:$A,$A13,Traceability!$F:$F,"Information")</f>
        <v>0</v>
      </c>
      <c r="H13" s="7" t="n">
        <v>8.32</v>
      </c>
      <c r="I13" s="8" t="s">
        <v>15</v>
      </c>
      <c r="J13" s="9" t="s">
        <v>41</v>
      </c>
    </row>
    <row r="14" customFormat="false" ht="15" hidden="false" customHeight="false" outlineLevel="0" collapsed="false">
      <c r="A14" s="4" t="s">
        <v>42</v>
      </c>
      <c r="B14" s="5" t="s">
        <v>43</v>
      </c>
      <c r="C14" s="5" t="s">
        <v>44</v>
      </c>
      <c r="D14" s="6" t="n">
        <f aca="false">COUNTIF(Traceability!$A:$A,$A14)</f>
        <v>3</v>
      </c>
      <c r="E14" s="5" t="n">
        <f aca="false">COUNTIFS(Traceability!$A:$A,$A14,Traceability!$F:$F,"Medium")</f>
        <v>2</v>
      </c>
      <c r="F14" s="5" t="n">
        <f aca="false">COUNTIFS(Traceability!$A:$A,$A14,Traceability!$F:$F,"Low")</f>
        <v>1</v>
      </c>
      <c r="G14" s="5" t="n">
        <f aca="false">COUNTIFS(Traceability!$A:$A,$A14,Traceability!$F:$F,"Information")</f>
        <v>0</v>
      </c>
      <c r="H14" s="7" t="n">
        <v>8.01</v>
      </c>
      <c r="I14" s="8" t="s">
        <v>15</v>
      </c>
      <c r="J14" s="9" t="s">
        <v>45</v>
      </c>
    </row>
    <row r="15" customFormat="false" ht="15" hidden="false" customHeight="false" outlineLevel="0" collapsed="false">
      <c r="A15" s="4" t="s">
        <v>46</v>
      </c>
      <c r="B15" s="5" t="s">
        <v>47</v>
      </c>
      <c r="C15" s="5" t="s">
        <v>14</v>
      </c>
      <c r="D15" s="6" t="n">
        <f aca="false">COUNTIF(Traceability!$A:$A,$A15)</f>
        <v>4</v>
      </c>
      <c r="E15" s="5" t="n">
        <f aca="false">COUNTIFS(Traceability!$A:$A,$A15,Traceability!$F:$F,"Medium")</f>
        <v>3</v>
      </c>
      <c r="F15" s="5" t="n">
        <f aca="false">COUNTIFS(Traceability!$A:$A,$A15,Traceability!$F:$F,"Low")</f>
        <v>1</v>
      </c>
      <c r="G15" s="5" t="n">
        <f aca="false">COUNTIFS(Traceability!$A:$A,$A15,Traceability!$F:$F,"Information")</f>
        <v>0</v>
      </c>
      <c r="H15" s="7" t="n">
        <v>7.65</v>
      </c>
      <c r="I15" s="8" t="s">
        <v>15</v>
      </c>
      <c r="J15" s="9" t="s">
        <v>16</v>
      </c>
    </row>
    <row r="16" customFormat="false" ht="15" hidden="false" customHeight="false" outlineLevel="0" collapsed="false">
      <c r="A16" s="4" t="s">
        <v>48</v>
      </c>
      <c r="B16" s="5" t="s">
        <v>49</v>
      </c>
      <c r="C16" s="5" t="s">
        <v>14</v>
      </c>
      <c r="D16" s="6" t="n">
        <f aca="false">COUNTIF(Traceability!$A:$A,$A16)</f>
        <v>4</v>
      </c>
      <c r="E16" s="5" t="n">
        <f aca="false">COUNTIFS(Traceability!$A:$A,$A16,Traceability!$F:$F,"Medium")</f>
        <v>2</v>
      </c>
      <c r="F16" s="5" t="n">
        <f aca="false">COUNTIFS(Traceability!$A:$A,$A16,Traceability!$F:$F,"Low")</f>
        <v>2</v>
      </c>
      <c r="G16" s="5" t="n">
        <f aca="false">COUNTIFS(Traceability!$A:$A,$A16,Traceability!$F:$F,"Information")</f>
        <v>0</v>
      </c>
      <c r="H16" s="7" t="n">
        <v>8.62</v>
      </c>
      <c r="I16" s="8" t="s">
        <v>15</v>
      </c>
      <c r="J16" s="9" t="s">
        <v>16</v>
      </c>
    </row>
    <row r="17" customFormat="false" ht="15" hidden="false" customHeight="false" outlineLevel="0" collapsed="false">
      <c r="A17" s="4" t="s">
        <v>50</v>
      </c>
      <c r="B17" s="5" t="s">
        <v>51</v>
      </c>
      <c r="C17" s="5" t="s">
        <v>14</v>
      </c>
      <c r="D17" s="6" t="n">
        <f aca="false">COUNTIF(Traceability!$A:$A,$A17)</f>
        <v>4</v>
      </c>
      <c r="E17" s="5" t="n">
        <f aca="false">COUNTIFS(Traceability!$A:$A,$A17,Traceability!$F:$F,"Medium")</f>
        <v>2</v>
      </c>
      <c r="F17" s="5" t="n">
        <f aca="false">COUNTIFS(Traceability!$A:$A,$A17,Traceability!$F:$F,"Low")</f>
        <v>2</v>
      </c>
      <c r="G17" s="5" t="n">
        <f aca="false">COUNTIFS(Traceability!$A:$A,$A17,Traceability!$F:$F,"Information")</f>
        <v>0</v>
      </c>
      <c r="H17" s="7" t="n">
        <v>9.44</v>
      </c>
      <c r="I17" s="8" t="s">
        <v>15</v>
      </c>
      <c r="J17" s="9" t="s">
        <v>16</v>
      </c>
    </row>
    <row r="18" customFormat="false" ht="15" hidden="false" customHeight="false" outlineLevel="0" collapsed="false">
      <c r="A18" s="4" t="s">
        <v>52</v>
      </c>
      <c r="B18" s="5" t="s">
        <v>53</v>
      </c>
      <c r="C18" s="5" t="s">
        <v>19</v>
      </c>
      <c r="D18" s="6" t="n">
        <f aca="false">COUNTIF(Traceability!$A:$A,$A18)</f>
        <v>4</v>
      </c>
      <c r="E18" s="5" t="n">
        <f aca="false">COUNTIFS(Traceability!$A:$A,$A18,Traceability!$F:$F,"Medium")</f>
        <v>1</v>
      </c>
      <c r="F18" s="5" t="n">
        <f aca="false">COUNTIFS(Traceability!$A:$A,$A18,Traceability!$F:$F,"Low")</f>
        <v>1</v>
      </c>
      <c r="G18" s="5" t="n">
        <f aca="false">COUNTIFS(Traceability!$A:$A,$A18,Traceability!$F:$F,"Information")</f>
        <v>2</v>
      </c>
      <c r="H18" s="7" t="n">
        <v>7.2</v>
      </c>
      <c r="I18" s="10" t="s">
        <v>54</v>
      </c>
      <c r="J18" s="9" t="s">
        <v>20</v>
      </c>
    </row>
    <row r="19" customFormat="false" ht="15" hidden="false" customHeight="false" outlineLevel="0" collapsed="false">
      <c r="A19" s="4" t="s">
        <v>55</v>
      </c>
      <c r="B19" s="5" t="s">
        <v>56</v>
      </c>
      <c r="C19" s="5" t="s">
        <v>19</v>
      </c>
      <c r="D19" s="6" t="n">
        <f aca="false">COUNTIF(Traceability!$A:$A,$A19)</f>
        <v>4</v>
      </c>
      <c r="E19" s="5" t="n">
        <f aca="false">COUNTIFS(Traceability!$A:$A,$A19,Traceability!$F:$F,"Medium")</f>
        <v>2</v>
      </c>
      <c r="F19" s="5" t="n">
        <f aca="false">COUNTIFS(Traceability!$A:$A,$A19,Traceability!$F:$F,"Low")</f>
        <v>0</v>
      </c>
      <c r="G19" s="5" t="n">
        <f aca="false">COUNTIFS(Traceability!$A:$A,$A19,Traceability!$F:$F,"Information")</f>
        <v>2</v>
      </c>
      <c r="H19" s="7" t="n">
        <v>9.16</v>
      </c>
      <c r="I19" s="8" t="s">
        <v>15</v>
      </c>
      <c r="J19" s="9" t="s">
        <v>20</v>
      </c>
    </row>
    <row r="20" customFormat="false" ht="15" hidden="false" customHeight="false" outlineLevel="0" collapsed="false">
      <c r="A20" s="4" t="s">
        <v>57</v>
      </c>
      <c r="B20" s="5" t="s">
        <v>58</v>
      </c>
      <c r="C20" s="5" t="s">
        <v>19</v>
      </c>
      <c r="D20" s="6" t="n">
        <f aca="false">COUNTIF(Traceability!$A:$A,$A20)</f>
        <v>4</v>
      </c>
      <c r="E20" s="5" t="n">
        <f aca="false">COUNTIFS(Traceability!$A:$A,$A20,Traceability!$F:$F,"Medium")</f>
        <v>1</v>
      </c>
      <c r="F20" s="5" t="n">
        <f aca="false">COUNTIFS(Traceability!$A:$A,$A20,Traceability!$F:$F,"Low")</f>
        <v>2</v>
      </c>
      <c r="G20" s="5" t="n">
        <f aca="false">COUNTIFS(Traceability!$A:$A,$A20,Traceability!$F:$F,"Information")</f>
        <v>1</v>
      </c>
      <c r="H20" s="7" t="n">
        <v>8.67</v>
      </c>
      <c r="I20" s="8" t="s">
        <v>15</v>
      </c>
      <c r="J20" s="9" t="s">
        <v>20</v>
      </c>
    </row>
    <row r="21" customFormat="false" ht="15" hidden="false" customHeight="false" outlineLevel="0" collapsed="false">
      <c r="A21" s="4" t="s">
        <v>59</v>
      </c>
      <c r="B21" s="5" t="s">
        <v>60</v>
      </c>
      <c r="C21" s="5" t="s">
        <v>19</v>
      </c>
      <c r="D21" s="6" t="n">
        <f aca="false">COUNTIF(Traceability!$A:$A,$A21)</f>
        <v>4</v>
      </c>
      <c r="E21" s="5" t="n">
        <f aca="false">COUNTIFS(Traceability!$A:$A,$A21,Traceability!$F:$F,"Medium")</f>
        <v>1</v>
      </c>
      <c r="F21" s="5" t="n">
        <f aca="false">COUNTIFS(Traceability!$A:$A,$A21,Traceability!$F:$F,"Low")</f>
        <v>1</v>
      </c>
      <c r="G21" s="5" t="n">
        <f aca="false">COUNTIFS(Traceability!$A:$A,$A21,Traceability!$F:$F,"Information")</f>
        <v>2</v>
      </c>
      <c r="H21" s="7" t="n">
        <v>8.76</v>
      </c>
      <c r="I21" s="8" t="s">
        <v>15</v>
      </c>
      <c r="J21" s="9" t="s">
        <v>20</v>
      </c>
    </row>
    <row r="22" customFormat="false" ht="15" hidden="false" customHeight="false" outlineLevel="0" collapsed="false">
      <c r="A22" s="4" t="s">
        <v>61</v>
      </c>
      <c r="B22" s="5" t="s">
        <v>62</v>
      </c>
      <c r="C22" s="5" t="s">
        <v>25</v>
      </c>
      <c r="D22" s="6" t="n">
        <f aca="false">COUNTIF(Traceability!$A:$A,$A22)</f>
        <v>4</v>
      </c>
      <c r="E22" s="5" t="n">
        <f aca="false">COUNTIFS(Traceability!$A:$A,$A22,Traceability!$F:$F,"Medium")</f>
        <v>1</v>
      </c>
      <c r="F22" s="5" t="n">
        <f aca="false">COUNTIFS(Traceability!$A:$A,$A22,Traceability!$F:$F,"Low")</f>
        <v>3</v>
      </c>
      <c r="G22" s="5" t="n">
        <f aca="false">COUNTIFS(Traceability!$A:$A,$A22,Traceability!$F:$F,"Information")</f>
        <v>0</v>
      </c>
      <c r="H22" s="7" t="n">
        <v>7.19</v>
      </c>
      <c r="I22" s="10" t="s">
        <v>54</v>
      </c>
      <c r="J22" s="9" t="s">
        <v>26</v>
      </c>
    </row>
    <row r="23" customFormat="false" ht="15" hidden="false" customHeight="false" outlineLevel="0" collapsed="false">
      <c r="A23" s="4" t="s">
        <v>63</v>
      </c>
      <c r="B23" s="5" t="s">
        <v>64</v>
      </c>
      <c r="C23" s="5" t="s">
        <v>65</v>
      </c>
      <c r="D23" s="6" t="n">
        <f aca="false">COUNTIF(Traceability!$A:$A,$A23)</f>
        <v>4</v>
      </c>
      <c r="E23" s="5" t="n">
        <f aca="false">COUNTIFS(Traceability!$A:$A,$A23,Traceability!$F:$F,"Medium")</f>
        <v>2</v>
      </c>
      <c r="F23" s="5" t="n">
        <f aca="false">COUNTIFS(Traceability!$A:$A,$A23,Traceability!$F:$F,"Low")</f>
        <v>2</v>
      </c>
      <c r="G23" s="5" t="n">
        <f aca="false">COUNTIFS(Traceability!$A:$A,$A23,Traceability!$F:$F,"Information")</f>
        <v>0</v>
      </c>
      <c r="H23" s="7" t="n">
        <v>7.72</v>
      </c>
      <c r="I23" s="8" t="s">
        <v>15</v>
      </c>
      <c r="J23" s="9" t="s">
        <v>26</v>
      </c>
    </row>
    <row r="24" customFormat="false" ht="15" hidden="false" customHeight="false" outlineLevel="0" collapsed="false">
      <c r="A24" s="4" t="s">
        <v>66</v>
      </c>
      <c r="B24" s="5" t="s">
        <v>67</v>
      </c>
      <c r="C24" s="5" t="s">
        <v>65</v>
      </c>
      <c r="D24" s="6" t="n">
        <f aca="false">COUNTIF(Traceability!$A:$A,$A24)</f>
        <v>3</v>
      </c>
      <c r="E24" s="5" t="n">
        <f aca="false">COUNTIFS(Traceability!$A:$A,$A24,Traceability!$F:$F,"Medium")</f>
        <v>3</v>
      </c>
      <c r="F24" s="5" t="n">
        <f aca="false">COUNTIFS(Traceability!$A:$A,$A24,Traceability!$F:$F,"Low")</f>
        <v>0</v>
      </c>
      <c r="G24" s="5" t="n">
        <f aca="false">COUNTIFS(Traceability!$A:$A,$A24,Traceability!$F:$F,"Information")</f>
        <v>0</v>
      </c>
      <c r="H24" s="7" t="n">
        <v>8.55</v>
      </c>
      <c r="I24" s="8" t="s">
        <v>15</v>
      </c>
      <c r="J24" s="9" t="s">
        <v>26</v>
      </c>
    </row>
    <row r="25" customFormat="false" ht="15" hidden="false" customHeight="false" outlineLevel="0" collapsed="false">
      <c r="A25" s="4" t="s">
        <v>68</v>
      </c>
      <c r="B25" s="5" t="s">
        <v>69</v>
      </c>
      <c r="C25" s="5" t="s">
        <v>70</v>
      </c>
      <c r="D25" s="6" t="n">
        <f aca="false">COUNTIF(Traceability!$A:$A,$A25)</f>
        <v>3</v>
      </c>
      <c r="E25" s="5" t="n">
        <f aca="false">COUNTIFS(Traceability!$A:$A,$A25,Traceability!$F:$F,"Medium")</f>
        <v>3</v>
      </c>
      <c r="F25" s="5" t="n">
        <f aca="false">COUNTIFS(Traceability!$A:$A,$A25,Traceability!$F:$F,"Low")</f>
        <v>0</v>
      </c>
      <c r="G25" s="5" t="n">
        <f aca="false">COUNTIFS(Traceability!$A:$A,$A25,Traceability!$F:$F,"Information")</f>
        <v>0</v>
      </c>
      <c r="H25" s="7" t="n">
        <v>6</v>
      </c>
      <c r="I25" s="10" t="s">
        <v>54</v>
      </c>
      <c r="J25" s="9" t="s">
        <v>41</v>
      </c>
    </row>
    <row r="26" customFormat="false" ht="15" hidden="false" customHeight="false" outlineLevel="0" collapsed="false">
      <c r="A26" s="4" t="s">
        <v>71</v>
      </c>
      <c r="B26" s="5" t="s">
        <v>72</v>
      </c>
      <c r="C26" s="5" t="s">
        <v>34</v>
      </c>
      <c r="D26" s="6" t="n">
        <f aca="false">COUNTIF(Traceability!$A:$A,$A26)</f>
        <v>3</v>
      </c>
      <c r="E26" s="5" t="n">
        <f aca="false">COUNTIFS(Traceability!$A:$A,$A26,Traceability!$F:$F,"Medium")</f>
        <v>1</v>
      </c>
      <c r="F26" s="5" t="n">
        <f aca="false">COUNTIFS(Traceability!$A:$A,$A26,Traceability!$F:$F,"Low")</f>
        <v>2</v>
      </c>
      <c r="G26" s="5" t="n">
        <f aca="false">COUNTIFS(Traceability!$A:$A,$A26,Traceability!$F:$F,"Information")</f>
        <v>0</v>
      </c>
      <c r="H26" s="7" t="n">
        <v>8.57</v>
      </c>
      <c r="I26" s="8" t="s">
        <v>15</v>
      </c>
      <c r="J26" s="9" t="s">
        <v>35</v>
      </c>
    </row>
    <row r="27" customFormat="false" ht="15" hidden="false" customHeight="false" outlineLevel="0" collapsed="false">
      <c r="A27" s="6"/>
      <c r="B27" s="4" t="s">
        <v>73</v>
      </c>
      <c r="C27" s="6"/>
      <c r="D27" s="4" t="n">
        <f aca="false">SUM(D5:D26)</f>
        <v>93</v>
      </c>
      <c r="E27" s="4" t="n">
        <f aca="false">SUM(E5:E26)</f>
        <v>48</v>
      </c>
      <c r="F27" s="4" t="n">
        <f aca="false">SUM(F5:F26)</f>
        <v>33</v>
      </c>
      <c r="G27" s="4" t="n">
        <f aca="false">SUM(G5:G26)</f>
        <v>12</v>
      </c>
      <c r="H27" s="6"/>
      <c r="I27" s="4" t="str">
        <f aca="false">COUNTIF(I5:I26,"High")&amp;" of "&amp;COUNTA(I5:I26)&amp;" High band"</f>
        <v>19 of 22 High band</v>
      </c>
      <c r="J27" s="6"/>
    </row>
    <row r="29" customFormat="false" ht="15" hidden="false" customHeight="false" outlineLevel="0" collapsed="false">
      <c r="A29" s="11" t="s">
        <v>74</v>
      </c>
      <c r="E29" s="11" t="n">
        <f aca="false">COUNTIFS(Traceability!$F:$F,"High")+COUNTIFS(Traceability!$F:$F,"Critical")</f>
        <v>0</v>
      </c>
    </row>
    <row r="30" customFormat="false" ht="15" hidden="false" customHeight="false" outlineLevel="0" collapsed="false">
      <c r="A30" s="12" t="s">
        <v>75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40"/>
    <col collapsed="false" customWidth="true" hidden="false" outlineLevel="0" max="12" min="12" style="0" width="3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12" t="s">
        <v>77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</row>
    <row r="5" customFormat="false" ht="15" hidden="false" customHeight="false" outlineLevel="0" collapsed="false">
      <c r="A5" s="13" t="s">
        <v>12</v>
      </c>
      <c r="B5" s="14" t="s">
        <v>13</v>
      </c>
      <c r="C5" s="13" t="s">
        <v>14</v>
      </c>
      <c r="D5" s="13" t="s">
        <v>88</v>
      </c>
      <c r="E5" s="15" t="s">
        <v>89</v>
      </c>
      <c r="F5" s="16" t="s">
        <v>6</v>
      </c>
      <c r="G5" s="13" t="s">
        <v>90</v>
      </c>
      <c r="H5" s="17" t="n">
        <v>7.75</v>
      </c>
      <c r="I5" s="13" t="s">
        <v>15</v>
      </c>
      <c r="J5" s="13" t="s">
        <v>91</v>
      </c>
      <c r="K5" s="15" t="s">
        <v>16</v>
      </c>
      <c r="L5" s="15" t="s">
        <v>92</v>
      </c>
      <c r="M5" s="18" t="s">
        <v>93</v>
      </c>
    </row>
    <row r="6" customFormat="false" ht="15" hidden="false" customHeight="false" outlineLevel="0" collapsed="false">
      <c r="A6" s="13" t="s">
        <v>12</v>
      </c>
      <c r="B6" s="14" t="s">
        <v>13</v>
      </c>
      <c r="C6" s="13" t="s">
        <v>14</v>
      </c>
      <c r="D6" s="13" t="s">
        <v>88</v>
      </c>
      <c r="E6" s="15" t="s">
        <v>94</v>
      </c>
      <c r="F6" s="16" t="s">
        <v>6</v>
      </c>
      <c r="G6" s="13" t="s">
        <v>90</v>
      </c>
      <c r="H6" s="17" t="n">
        <v>7.12</v>
      </c>
      <c r="I6" s="13" t="s">
        <v>54</v>
      </c>
      <c r="J6" s="13" t="s">
        <v>91</v>
      </c>
      <c r="K6" s="15" t="s">
        <v>16</v>
      </c>
      <c r="L6" s="15" t="s">
        <v>95</v>
      </c>
      <c r="M6" s="18" t="s">
        <v>96</v>
      </c>
    </row>
    <row r="7" customFormat="false" ht="15" hidden="false" customHeight="false" outlineLevel="0" collapsed="false">
      <c r="A7" s="13" t="s">
        <v>12</v>
      </c>
      <c r="B7" s="14" t="s">
        <v>13</v>
      </c>
      <c r="C7" s="13" t="s">
        <v>14</v>
      </c>
      <c r="D7" s="13" t="s">
        <v>97</v>
      </c>
      <c r="E7" s="15" t="s">
        <v>98</v>
      </c>
      <c r="F7" s="16" t="s">
        <v>6</v>
      </c>
      <c r="G7" s="13" t="s">
        <v>90</v>
      </c>
      <c r="H7" s="17" t="n">
        <v>6.12</v>
      </c>
      <c r="I7" s="13" t="s">
        <v>54</v>
      </c>
      <c r="J7" s="13" t="s">
        <v>91</v>
      </c>
      <c r="K7" s="15" t="s">
        <v>16</v>
      </c>
      <c r="L7" s="15" t="s">
        <v>99</v>
      </c>
      <c r="M7" s="18" t="s">
        <v>100</v>
      </c>
    </row>
    <row r="8" customFormat="false" ht="15" hidden="false" customHeight="false" outlineLevel="0" collapsed="false">
      <c r="A8" s="13" t="s">
        <v>12</v>
      </c>
      <c r="B8" s="14" t="s">
        <v>13</v>
      </c>
      <c r="C8" s="13" t="s">
        <v>14</v>
      </c>
      <c r="D8" s="13" t="s">
        <v>97</v>
      </c>
      <c r="E8" s="15" t="s">
        <v>101</v>
      </c>
      <c r="F8" s="19" t="s">
        <v>7</v>
      </c>
      <c r="G8" s="13" t="s">
        <v>90</v>
      </c>
      <c r="H8" s="17" t="n">
        <v>4.75</v>
      </c>
      <c r="I8" s="13" t="s">
        <v>7</v>
      </c>
      <c r="J8" s="13" t="s">
        <v>91</v>
      </c>
      <c r="K8" s="15" t="s">
        <v>16</v>
      </c>
      <c r="L8" s="15" t="s">
        <v>102</v>
      </c>
      <c r="M8" s="18" t="s">
        <v>100</v>
      </c>
    </row>
    <row r="9" customFormat="false" ht="15" hidden="false" customHeight="false" outlineLevel="0" collapsed="false">
      <c r="A9" s="13" t="s">
        <v>12</v>
      </c>
      <c r="B9" s="14" t="s">
        <v>13</v>
      </c>
      <c r="C9" s="13" t="s">
        <v>14</v>
      </c>
      <c r="D9" s="13" t="s">
        <v>103</v>
      </c>
      <c r="E9" s="15" t="s">
        <v>104</v>
      </c>
      <c r="F9" s="19" t="s">
        <v>7</v>
      </c>
      <c r="G9" s="13" t="s">
        <v>90</v>
      </c>
      <c r="H9" s="17" t="n">
        <v>7.75</v>
      </c>
      <c r="I9" s="13" t="s">
        <v>15</v>
      </c>
      <c r="J9" s="13" t="s">
        <v>91</v>
      </c>
      <c r="K9" s="15" t="s">
        <v>16</v>
      </c>
      <c r="L9" s="15" t="s">
        <v>105</v>
      </c>
      <c r="M9" s="18" t="s">
        <v>106</v>
      </c>
    </row>
    <row r="10" customFormat="false" ht="22.35" hidden="false" customHeight="false" outlineLevel="0" collapsed="false">
      <c r="A10" s="13" t="s">
        <v>17</v>
      </c>
      <c r="B10" s="14" t="s">
        <v>18</v>
      </c>
      <c r="C10" s="13" t="s">
        <v>19</v>
      </c>
      <c r="D10" s="13" t="s">
        <v>88</v>
      </c>
      <c r="E10" s="15" t="s">
        <v>107</v>
      </c>
      <c r="F10" s="16" t="s">
        <v>6</v>
      </c>
      <c r="G10" s="13" t="s">
        <v>90</v>
      </c>
      <c r="H10" s="17" t="n">
        <v>7.12</v>
      </c>
      <c r="I10" s="13" t="s">
        <v>54</v>
      </c>
      <c r="J10" s="13" t="s">
        <v>108</v>
      </c>
      <c r="K10" s="15" t="s">
        <v>20</v>
      </c>
      <c r="L10" s="15" t="s">
        <v>109</v>
      </c>
      <c r="M10" s="18" t="s">
        <v>110</v>
      </c>
    </row>
    <row r="11" customFormat="false" ht="15" hidden="false" customHeight="false" outlineLevel="0" collapsed="false">
      <c r="A11" s="13" t="s">
        <v>17</v>
      </c>
      <c r="B11" s="14" t="s">
        <v>18</v>
      </c>
      <c r="C11" s="13" t="s">
        <v>19</v>
      </c>
      <c r="D11" s="13" t="s">
        <v>88</v>
      </c>
      <c r="E11" s="15" t="s">
        <v>111</v>
      </c>
      <c r="F11" s="16" t="s">
        <v>6</v>
      </c>
      <c r="G11" s="13" t="s">
        <v>90</v>
      </c>
      <c r="H11" s="17" t="n">
        <v>7.12</v>
      </c>
      <c r="I11" s="13" t="s">
        <v>54</v>
      </c>
      <c r="J11" s="13" t="s">
        <v>108</v>
      </c>
      <c r="K11" s="15" t="s">
        <v>20</v>
      </c>
      <c r="L11" s="15" t="s">
        <v>112</v>
      </c>
      <c r="M11" s="18" t="s">
        <v>113</v>
      </c>
    </row>
    <row r="12" customFormat="false" ht="22.35" hidden="false" customHeight="false" outlineLevel="0" collapsed="false">
      <c r="A12" s="13" t="s">
        <v>17</v>
      </c>
      <c r="B12" s="14" t="s">
        <v>18</v>
      </c>
      <c r="C12" s="13" t="s">
        <v>19</v>
      </c>
      <c r="D12" s="13" t="s">
        <v>97</v>
      </c>
      <c r="E12" s="15" t="s">
        <v>114</v>
      </c>
      <c r="F12" s="16" t="s">
        <v>6</v>
      </c>
      <c r="G12" s="13" t="s">
        <v>90</v>
      </c>
      <c r="H12" s="17" t="n">
        <v>5.75</v>
      </c>
      <c r="I12" s="13" t="s">
        <v>54</v>
      </c>
      <c r="J12" s="13" t="s">
        <v>108</v>
      </c>
      <c r="K12" s="15" t="s">
        <v>20</v>
      </c>
      <c r="L12" s="15" t="s">
        <v>115</v>
      </c>
      <c r="M12" s="18" t="s">
        <v>116</v>
      </c>
    </row>
    <row r="13" customFormat="false" ht="22.35" hidden="false" customHeight="false" outlineLevel="0" collapsed="false">
      <c r="A13" s="13" t="s">
        <v>17</v>
      </c>
      <c r="B13" s="14" t="s">
        <v>18</v>
      </c>
      <c r="C13" s="13" t="s">
        <v>19</v>
      </c>
      <c r="D13" s="13" t="s">
        <v>103</v>
      </c>
      <c r="E13" s="15" t="s">
        <v>117</v>
      </c>
      <c r="F13" s="19" t="s">
        <v>7</v>
      </c>
      <c r="G13" s="13" t="s">
        <v>90</v>
      </c>
      <c r="H13" s="17" t="n">
        <v>6</v>
      </c>
      <c r="I13" s="13" t="s">
        <v>54</v>
      </c>
      <c r="J13" s="13" t="s">
        <v>108</v>
      </c>
      <c r="K13" s="15" t="s">
        <v>20</v>
      </c>
      <c r="L13" s="15" t="s">
        <v>118</v>
      </c>
      <c r="M13" s="18" t="s">
        <v>119</v>
      </c>
    </row>
    <row r="14" customFormat="false" ht="22.35" hidden="false" customHeight="false" outlineLevel="0" collapsed="false">
      <c r="A14" s="13" t="s">
        <v>17</v>
      </c>
      <c r="B14" s="14" t="s">
        <v>18</v>
      </c>
      <c r="C14" s="13" t="s">
        <v>19</v>
      </c>
      <c r="D14" s="13" t="s">
        <v>103</v>
      </c>
      <c r="E14" s="15" t="s">
        <v>120</v>
      </c>
      <c r="F14" s="19" t="s">
        <v>7</v>
      </c>
      <c r="G14" s="13" t="s">
        <v>90</v>
      </c>
      <c r="H14" s="17" t="n">
        <v>4.75</v>
      </c>
      <c r="I14" s="13" t="s">
        <v>7</v>
      </c>
      <c r="J14" s="13" t="s">
        <v>108</v>
      </c>
      <c r="K14" s="15" t="s">
        <v>20</v>
      </c>
      <c r="L14" s="15" t="s">
        <v>121</v>
      </c>
      <c r="M14" s="18" t="s">
        <v>122</v>
      </c>
    </row>
    <row r="15" customFormat="false" ht="22.35" hidden="false" customHeight="false" outlineLevel="0" collapsed="false">
      <c r="A15" s="13" t="s">
        <v>21</v>
      </c>
      <c r="B15" s="14" t="s">
        <v>22</v>
      </c>
      <c r="C15" s="13" t="s">
        <v>19</v>
      </c>
      <c r="D15" s="13" t="s">
        <v>88</v>
      </c>
      <c r="E15" s="15" t="s">
        <v>123</v>
      </c>
      <c r="F15" s="16" t="s">
        <v>6</v>
      </c>
      <c r="G15" s="13" t="s">
        <v>90</v>
      </c>
      <c r="H15" s="17" t="n">
        <v>7.5</v>
      </c>
      <c r="I15" s="13" t="s">
        <v>54</v>
      </c>
      <c r="J15" s="13" t="s">
        <v>108</v>
      </c>
      <c r="K15" s="15" t="s">
        <v>20</v>
      </c>
      <c r="L15" s="15" t="s">
        <v>124</v>
      </c>
      <c r="M15" s="18" t="s">
        <v>110</v>
      </c>
    </row>
    <row r="16" customFormat="false" ht="22.35" hidden="false" customHeight="false" outlineLevel="0" collapsed="false">
      <c r="A16" s="13" t="s">
        <v>21</v>
      </c>
      <c r="B16" s="14" t="s">
        <v>22</v>
      </c>
      <c r="C16" s="13" t="s">
        <v>19</v>
      </c>
      <c r="D16" s="13" t="s">
        <v>88</v>
      </c>
      <c r="E16" s="15" t="s">
        <v>125</v>
      </c>
      <c r="F16" s="16" t="s">
        <v>6</v>
      </c>
      <c r="G16" s="13" t="s">
        <v>90</v>
      </c>
      <c r="H16" s="17" t="n">
        <v>6.75</v>
      </c>
      <c r="I16" s="13" t="s">
        <v>54</v>
      </c>
      <c r="J16" s="13" t="s">
        <v>108</v>
      </c>
      <c r="K16" s="15" t="s">
        <v>20</v>
      </c>
      <c r="L16" s="15" t="s">
        <v>126</v>
      </c>
      <c r="M16" s="18" t="s">
        <v>127</v>
      </c>
    </row>
    <row r="17" customFormat="false" ht="22.35" hidden="false" customHeight="false" outlineLevel="0" collapsed="false">
      <c r="A17" s="13" t="s">
        <v>21</v>
      </c>
      <c r="B17" s="14" t="s">
        <v>22</v>
      </c>
      <c r="C17" s="13" t="s">
        <v>19</v>
      </c>
      <c r="D17" s="13" t="s">
        <v>88</v>
      </c>
      <c r="E17" s="15" t="s">
        <v>128</v>
      </c>
      <c r="F17" s="16" t="s">
        <v>6</v>
      </c>
      <c r="G17" s="13" t="s">
        <v>90</v>
      </c>
      <c r="H17" s="17" t="n">
        <v>7.12</v>
      </c>
      <c r="I17" s="13" t="s">
        <v>54</v>
      </c>
      <c r="J17" s="13" t="s">
        <v>108</v>
      </c>
      <c r="K17" s="15" t="s">
        <v>20</v>
      </c>
      <c r="L17" s="15" t="s">
        <v>129</v>
      </c>
      <c r="M17" s="18" t="s">
        <v>130</v>
      </c>
    </row>
    <row r="18" customFormat="false" ht="22.35" hidden="false" customHeight="false" outlineLevel="0" collapsed="false">
      <c r="A18" s="13" t="s">
        <v>21</v>
      </c>
      <c r="B18" s="14" t="s">
        <v>22</v>
      </c>
      <c r="C18" s="13" t="s">
        <v>19</v>
      </c>
      <c r="D18" s="13" t="s">
        <v>97</v>
      </c>
      <c r="E18" s="15" t="s">
        <v>131</v>
      </c>
      <c r="F18" s="19" t="s">
        <v>7</v>
      </c>
      <c r="G18" s="13" t="s">
        <v>90</v>
      </c>
      <c r="H18" s="17" t="n">
        <v>5.75</v>
      </c>
      <c r="I18" s="13" t="s">
        <v>54</v>
      </c>
      <c r="J18" s="13" t="s">
        <v>108</v>
      </c>
      <c r="K18" s="15" t="s">
        <v>20</v>
      </c>
      <c r="L18" s="15" t="s">
        <v>132</v>
      </c>
      <c r="M18" s="18" t="s">
        <v>133</v>
      </c>
    </row>
    <row r="19" customFormat="false" ht="22.35" hidden="false" customHeight="false" outlineLevel="0" collapsed="false">
      <c r="A19" s="13" t="s">
        <v>21</v>
      </c>
      <c r="B19" s="14" t="s">
        <v>22</v>
      </c>
      <c r="C19" s="13" t="s">
        <v>19</v>
      </c>
      <c r="D19" s="13" t="s">
        <v>97</v>
      </c>
      <c r="E19" s="15" t="s">
        <v>134</v>
      </c>
      <c r="F19" s="19" t="s">
        <v>7</v>
      </c>
      <c r="G19" s="13" t="s">
        <v>90</v>
      </c>
      <c r="H19" s="17" t="n">
        <v>5</v>
      </c>
      <c r="I19" s="13" t="s">
        <v>7</v>
      </c>
      <c r="J19" s="13" t="s">
        <v>108</v>
      </c>
      <c r="K19" s="15" t="s">
        <v>20</v>
      </c>
      <c r="L19" s="15" t="s">
        <v>135</v>
      </c>
      <c r="M19" s="18" t="s">
        <v>136</v>
      </c>
    </row>
    <row r="20" customFormat="false" ht="15" hidden="false" customHeight="false" outlineLevel="0" collapsed="false">
      <c r="A20" s="13" t="s">
        <v>23</v>
      </c>
      <c r="B20" s="14" t="s">
        <v>24</v>
      </c>
      <c r="C20" s="13" t="s">
        <v>25</v>
      </c>
      <c r="D20" s="13" t="s">
        <v>88</v>
      </c>
      <c r="E20" s="15" t="s">
        <v>137</v>
      </c>
      <c r="F20" s="16" t="s">
        <v>6</v>
      </c>
      <c r="G20" s="13" t="s">
        <v>90</v>
      </c>
      <c r="H20" s="17" t="n">
        <v>7.12</v>
      </c>
      <c r="I20" s="13" t="s">
        <v>54</v>
      </c>
      <c r="J20" s="13" t="s">
        <v>138</v>
      </c>
      <c r="K20" s="15" t="s">
        <v>26</v>
      </c>
      <c r="L20" s="15" t="s">
        <v>139</v>
      </c>
      <c r="M20" s="18" t="s">
        <v>140</v>
      </c>
    </row>
    <row r="21" customFormat="false" ht="15" hidden="false" customHeight="false" outlineLevel="0" collapsed="false">
      <c r="A21" s="13" t="s">
        <v>23</v>
      </c>
      <c r="B21" s="14" t="s">
        <v>24</v>
      </c>
      <c r="C21" s="13" t="s">
        <v>25</v>
      </c>
      <c r="D21" s="13" t="s">
        <v>97</v>
      </c>
      <c r="E21" s="15" t="s">
        <v>141</v>
      </c>
      <c r="F21" s="16" t="s">
        <v>6</v>
      </c>
      <c r="G21" s="13" t="s">
        <v>90</v>
      </c>
      <c r="H21" s="17" t="n">
        <v>4.37</v>
      </c>
      <c r="I21" s="13" t="s">
        <v>7</v>
      </c>
      <c r="J21" s="13" t="s">
        <v>138</v>
      </c>
      <c r="K21" s="15" t="s">
        <v>26</v>
      </c>
      <c r="L21" s="15" t="s">
        <v>142</v>
      </c>
      <c r="M21" s="18" t="s">
        <v>143</v>
      </c>
    </row>
    <row r="22" customFormat="false" ht="15" hidden="false" customHeight="false" outlineLevel="0" collapsed="false">
      <c r="A22" s="13" t="s">
        <v>23</v>
      </c>
      <c r="B22" s="14" t="s">
        <v>24</v>
      </c>
      <c r="C22" s="13" t="s">
        <v>25</v>
      </c>
      <c r="D22" s="13" t="s">
        <v>97</v>
      </c>
      <c r="E22" s="15" t="s">
        <v>144</v>
      </c>
      <c r="F22" s="19" t="s">
        <v>7</v>
      </c>
      <c r="G22" s="13" t="s">
        <v>90</v>
      </c>
      <c r="H22" s="17" t="n">
        <v>5.75</v>
      </c>
      <c r="I22" s="13" t="s">
        <v>54</v>
      </c>
      <c r="J22" s="13" t="s">
        <v>138</v>
      </c>
      <c r="K22" s="15" t="s">
        <v>26</v>
      </c>
      <c r="L22" s="15" t="s">
        <v>145</v>
      </c>
      <c r="M22" s="18" t="s">
        <v>143</v>
      </c>
    </row>
    <row r="23" customFormat="false" ht="15" hidden="false" customHeight="false" outlineLevel="0" collapsed="false">
      <c r="A23" s="13" t="s">
        <v>23</v>
      </c>
      <c r="B23" s="14" t="s">
        <v>24</v>
      </c>
      <c r="C23" s="13" t="s">
        <v>25</v>
      </c>
      <c r="D23" s="13" t="s">
        <v>88</v>
      </c>
      <c r="E23" s="15" t="s">
        <v>146</v>
      </c>
      <c r="F23" s="19" t="s">
        <v>7</v>
      </c>
      <c r="G23" s="13" t="s">
        <v>90</v>
      </c>
      <c r="H23" s="17" t="n">
        <v>4.75</v>
      </c>
      <c r="I23" s="13" t="s">
        <v>7</v>
      </c>
      <c r="J23" s="13" t="s">
        <v>138</v>
      </c>
      <c r="K23" s="15" t="s">
        <v>26</v>
      </c>
      <c r="L23" s="15" t="s">
        <v>147</v>
      </c>
      <c r="M23" s="18" t="s">
        <v>148</v>
      </c>
    </row>
    <row r="24" customFormat="false" ht="15" hidden="false" customHeight="false" outlineLevel="0" collapsed="false">
      <c r="A24" s="13" t="s">
        <v>23</v>
      </c>
      <c r="B24" s="14" t="s">
        <v>24</v>
      </c>
      <c r="C24" s="13" t="s">
        <v>25</v>
      </c>
      <c r="D24" s="13" t="s">
        <v>103</v>
      </c>
      <c r="E24" s="15" t="s">
        <v>149</v>
      </c>
      <c r="F24" s="19" t="s">
        <v>7</v>
      </c>
      <c r="G24" s="13" t="s">
        <v>90</v>
      </c>
      <c r="H24" s="17" t="n">
        <v>5.25</v>
      </c>
      <c r="I24" s="13" t="s">
        <v>54</v>
      </c>
      <c r="J24" s="13" t="s">
        <v>138</v>
      </c>
      <c r="K24" s="15" t="s">
        <v>26</v>
      </c>
      <c r="L24" s="15" t="s">
        <v>150</v>
      </c>
      <c r="M24" s="18" t="s">
        <v>151</v>
      </c>
    </row>
    <row r="25" customFormat="false" ht="23.85" hidden="false" customHeight="false" outlineLevel="0" collapsed="false">
      <c r="A25" s="13" t="s">
        <v>27</v>
      </c>
      <c r="B25" s="14" t="s">
        <v>28</v>
      </c>
      <c r="C25" s="13" t="s">
        <v>29</v>
      </c>
      <c r="D25" s="13" t="s">
        <v>88</v>
      </c>
      <c r="E25" s="15" t="s">
        <v>152</v>
      </c>
      <c r="F25" s="16" t="s">
        <v>6</v>
      </c>
      <c r="G25" s="13" t="s">
        <v>90</v>
      </c>
      <c r="H25" s="17" t="n">
        <v>6.5</v>
      </c>
      <c r="I25" s="13" t="s">
        <v>54</v>
      </c>
      <c r="J25" s="13" t="s">
        <v>138</v>
      </c>
      <c r="K25" s="15" t="s">
        <v>26</v>
      </c>
      <c r="L25" s="15" t="s">
        <v>153</v>
      </c>
      <c r="M25" s="18" t="s">
        <v>154</v>
      </c>
    </row>
    <row r="26" customFormat="false" ht="23.85" hidden="false" customHeight="false" outlineLevel="0" collapsed="false">
      <c r="A26" s="13" t="s">
        <v>27</v>
      </c>
      <c r="B26" s="14" t="s">
        <v>28</v>
      </c>
      <c r="C26" s="13" t="s">
        <v>29</v>
      </c>
      <c r="D26" s="13" t="s">
        <v>97</v>
      </c>
      <c r="E26" s="15" t="s">
        <v>155</v>
      </c>
      <c r="F26" s="16" t="s">
        <v>6</v>
      </c>
      <c r="G26" s="13" t="s">
        <v>156</v>
      </c>
      <c r="H26" s="17" t="n">
        <v>7.25</v>
      </c>
      <c r="I26" s="13" t="s">
        <v>54</v>
      </c>
      <c r="J26" s="13" t="s">
        <v>138</v>
      </c>
      <c r="K26" s="15" t="s">
        <v>26</v>
      </c>
      <c r="L26" s="15" t="s">
        <v>157</v>
      </c>
      <c r="M26" s="18"/>
    </row>
    <row r="27" customFormat="false" ht="23.85" hidden="false" customHeight="false" outlineLevel="0" collapsed="false">
      <c r="A27" s="13" t="s">
        <v>27</v>
      </c>
      <c r="B27" s="14" t="s">
        <v>28</v>
      </c>
      <c r="C27" s="13" t="s">
        <v>29</v>
      </c>
      <c r="D27" s="13" t="s">
        <v>97</v>
      </c>
      <c r="E27" s="15" t="s">
        <v>158</v>
      </c>
      <c r="F27" s="16" t="s">
        <v>6</v>
      </c>
      <c r="G27" s="13" t="s">
        <v>156</v>
      </c>
      <c r="H27" s="17" t="n">
        <v>5.87</v>
      </c>
      <c r="I27" s="13" t="s">
        <v>54</v>
      </c>
      <c r="J27" s="13" t="s">
        <v>138</v>
      </c>
      <c r="K27" s="15" t="s">
        <v>26</v>
      </c>
      <c r="L27" s="15" t="s">
        <v>159</v>
      </c>
      <c r="M27" s="18"/>
    </row>
    <row r="28" customFormat="false" ht="23.85" hidden="false" customHeight="false" outlineLevel="0" collapsed="false">
      <c r="A28" s="13" t="s">
        <v>27</v>
      </c>
      <c r="B28" s="14" t="s">
        <v>28</v>
      </c>
      <c r="C28" s="13" t="s">
        <v>29</v>
      </c>
      <c r="D28" s="13" t="s">
        <v>97</v>
      </c>
      <c r="E28" s="15" t="s">
        <v>160</v>
      </c>
      <c r="F28" s="16" t="s">
        <v>6</v>
      </c>
      <c r="G28" s="13" t="s">
        <v>156</v>
      </c>
      <c r="H28" s="17" t="n">
        <v>6.5</v>
      </c>
      <c r="I28" s="13" t="s">
        <v>54</v>
      </c>
      <c r="J28" s="13" t="s">
        <v>138</v>
      </c>
      <c r="K28" s="15" t="s">
        <v>26</v>
      </c>
      <c r="L28" s="15" t="s">
        <v>161</v>
      </c>
      <c r="M28" s="18"/>
    </row>
    <row r="29" customFormat="false" ht="23.85" hidden="false" customHeight="false" outlineLevel="0" collapsed="false">
      <c r="A29" s="13" t="s">
        <v>27</v>
      </c>
      <c r="B29" s="14" t="s">
        <v>28</v>
      </c>
      <c r="C29" s="13" t="s">
        <v>29</v>
      </c>
      <c r="D29" s="13" t="s">
        <v>103</v>
      </c>
      <c r="E29" s="15" t="s">
        <v>162</v>
      </c>
      <c r="F29" s="19" t="s">
        <v>7</v>
      </c>
      <c r="G29" s="13" t="s">
        <v>156</v>
      </c>
      <c r="H29" s="17" t="n">
        <v>1.12</v>
      </c>
      <c r="I29" s="13" t="s">
        <v>163</v>
      </c>
      <c r="J29" s="13" t="s">
        <v>138</v>
      </c>
      <c r="K29" s="15" t="s">
        <v>26</v>
      </c>
      <c r="L29" s="15" t="s">
        <v>164</v>
      </c>
      <c r="M29" s="18"/>
    </row>
    <row r="30" customFormat="false" ht="22.35" hidden="false" customHeight="false" outlineLevel="0" collapsed="false">
      <c r="A30" s="13" t="s">
        <v>30</v>
      </c>
      <c r="B30" s="14" t="s">
        <v>31</v>
      </c>
      <c r="C30" s="13" t="s">
        <v>19</v>
      </c>
      <c r="D30" s="13" t="s">
        <v>88</v>
      </c>
      <c r="E30" s="15" t="s">
        <v>165</v>
      </c>
      <c r="F30" s="20" t="s">
        <v>166</v>
      </c>
      <c r="G30" s="13" t="s">
        <v>90</v>
      </c>
      <c r="H30" s="17" t="n">
        <v>7.12</v>
      </c>
      <c r="I30" s="13" t="s">
        <v>54</v>
      </c>
      <c r="J30" s="13" t="s">
        <v>108</v>
      </c>
      <c r="K30" s="15" t="s">
        <v>20</v>
      </c>
      <c r="L30" s="15" t="s">
        <v>167</v>
      </c>
      <c r="M30" s="18" t="s">
        <v>168</v>
      </c>
    </row>
    <row r="31" customFormat="false" ht="15" hidden="false" customHeight="false" outlineLevel="0" collapsed="false">
      <c r="A31" s="13" t="s">
        <v>30</v>
      </c>
      <c r="B31" s="14" t="s">
        <v>31</v>
      </c>
      <c r="C31" s="13" t="s">
        <v>19</v>
      </c>
      <c r="D31" s="13" t="s">
        <v>97</v>
      </c>
      <c r="E31" s="15" t="s">
        <v>169</v>
      </c>
      <c r="F31" s="20" t="s">
        <v>166</v>
      </c>
      <c r="G31" s="13" t="s">
        <v>90</v>
      </c>
      <c r="H31" s="17" t="n">
        <v>5.12</v>
      </c>
      <c r="I31" s="13" t="s">
        <v>54</v>
      </c>
      <c r="J31" s="13" t="s">
        <v>108</v>
      </c>
      <c r="K31" s="15" t="s">
        <v>20</v>
      </c>
      <c r="L31" s="15" t="s">
        <v>170</v>
      </c>
      <c r="M31" s="18" t="s">
        <v>171</v>
      </c>
    </row>
    <row r="32" customFormat="false" ht="15" hidden="false" customHeight="false" outlineLevel="0" collapsed="false">
      <c r="A32" s="13" t="s">
        <v>30</v>
      </c>
      <c r="B32" s="14" t="s">
        <v>31</v>
      </c>
      <c r="C32" s="13" t="s">
        <v>19</v>
      </c>
      <c r="D32" s="13" t="s">
        <v>88</v>
      </c>
      <c r="E32" s="15" t="s">
        <v>172</v>
      </c>
      <c r="F32" s="20" t="s">
        <v>166</v>
      </c>
      <c r="G32" s="13" t="s">
        <v>90</v>
      </c>
      <c r="H32" s="17" t="n">
        <v>5.75</v>
      </c>
      <c r="I32" s="13" t="s">
        <v>54</v>
      </c>
      <c r="J32" s="13" t="s">
        <v>108</v>
      </c>
      <c r="K32" s="15" t="s">
        <v>20</v>
      </c>
      <c r="L32" s="15" t="s">
        <v>173</v>
      </c>
      <c r="M32" s="18" t="s">
        <v>174</v>
      </c>
    </row>
    <row r="33" customFormat="false" ht="22.35" hidden="false" customHeight="false" outlineLevel="0" collapsed="false">
      <c r="A33" s="13" t="s">
        <v>30</v>
      </c>
      <c r="B33" s="14" t="s">
        <v>31</v>
      </c>
      <c r="C33" s="13" t="s">
        <v>19</v>
      </c>
      <c r="D33" s="13" t="s">
        <v>103</v>
      </c>
      <c r="E33" s="15" t="s">
        <v>175</v>
      </c>
      <c r="F33" s="20" t="s">
        <v>166</v>
      </c>
      <c r="G33" s="13" t="s">
        <v>90</v>
      </c>
      <c r="H33" s="17" t="n">
        <v>4.75</v>
      </c>
      <c r="I33" s="13" t="s">
        <v>7</v>
      </c>
      <c r="J33" s="13" t="s">
        <v>108</v>
      </c>
      <c r="K33" s="15" t="s">
        <v>20</v>
      </c>
      <c r="L33" s="15" t="s">
        <v>176</v>
      </c>
      <c r="M33" s="18" t="s">
        <v>177</v>
      </c>
    </row>
    <row r="34" customFormat="false" ht="15" hidden="false" customHeight="false" outlineLevel="0" collapsed="false">
      <c r="A34" s="13" t="s">
        <v>30</v>
      </c>
      <c r="B34" s="14" t="s">
        <v>31</v>
      </c>
      <c r="C34" s="13" t="s">
        <v>19</v>
      </c>
      <c r="D34" s="13" t="s">
        <v>103</v>
      </c>
      <c r="E34" s="15" t="s">
        <v>178</v>
      </c>
      <c r="F34" s="20" t="s">
        <v>166</v>
      </c>
      <c r="G34" s="13" t="s">
        <v>90</v>
      </c>
      <c r="H34" s="17" t="n">
        <v>4.62</v>
      </c>
      <c r="I34" s="13" t="s">
        <v>7</v>
      </c>
      <c r="J34" s="13" t="s">
        <v>108</v>
      </c>
      <c r="K34" s="15" t="s">
        <v>20</v>
      </c>
      <c r="L34" s="15" t="s">
        <v>179</v>
      </c>
      <c r="M34" s="18" t="s">
        <v>180</v>
      </c>
    </row>
    <row r="35" customFormat="false" ht="15" hidden="false" customHeight="false" outlineLevel="0" collapsed="false">
      <c r="A35" s="13" t="s">
        <v>32</v>
      </c>
      <c r="B35" s="14" t="s">
        <v>33</v>
      </c>
      <c r="C35" s="13" t="s">
        <v>34</v>
      </c>
      <c r="D35" s="13" t="s">
        <v>88</v>
      </c>
      <c r="E35" s="15" t="s">
        <v>181</v>
      </c>
      <c r="F35" s="16" t="s">
        <v>6</v>
      </c>
      <c r="G35" s="13" t="s">
        <v>90</v>
      </c>
      <c r="H35" s="17" t="n">
        <v>7.38</v>
      </c>
      <c r="I35" s="13" t="s">
        <v>54</v>
      </c>
      <c r="J35" s="13" t="s">
        <v>182</v>
      </c>
      <c r="K35" s="15" t="s">
        <v>35</v>
      </c>
      <c r="L35" s="15" t="s">
        <v>183</v>
      </c>
      <c r="M35" s="18" t="s">
        <v>184</v>
      </c>
    </row>
    <row r="36" customFormat="false" ht="15" hidden="false" customHeight="false" outlineLevel="0" collapsed="false">
      <c r="A36" s="13" t="s">
        <v>32</v>
      </c>
      <c r="B36" s="14" t="s">
        <v>33</v>
      </c>
      <c r="C36" s="13" t="s">
        <v>34</v>
      </c>
      <c r="D36" s="13" t="s">
        <v>103</v>
      </c>
      <c r="E36" s="15" t="s">
        <v>117</v>
      </c>
      <c r="F36" s="19" t="s">
        <v>7</v>
      </c>
      <c r="G36" s="13" t="s">
        <v>90</v>
      </c>
      <c r="H36" s="17" t="n">
        <v>6</v>
      </c>
      <c r="I36" s="13" t="s">
        <v>54</v>
      </c>
      <c r="J36" s="13" t="s">
        <v>182</v>
      </c>
      <c r="K36" s="15" t="s">
        <v>35</v>
      </c>
      <c r="L36" s="15" t="s">
        <v>185</v>
      </c>
      <c r="M36" s="18" t="s">
        <v>186</v>
      </c>
    </row>
    <row r="37" customFormat="false" ht="15" hidden="false" customHeight="false" outlineLevel="0" collapsed="false">
      <c r="A37" s="13" t="s">
        <v>32</v>
      </c>
      <c r="B37" s="14" t="s">
        <v>33</v>
      </c>
      <c r="C37" s="13" t="s">
        <v>34</v>
      </c>
      <c r="D37" s="13" t="s">
        <v>88</v>
      </c>
      <c r="E37" s="15" t="s">
        <v>117</v>
      </c>
      <c r="F37" s="19" t="s">
        <v>7</v>
      </c>
      <c r="G37" s="13" t="s">
        <v>90</v>
      </c>
      <c r="H37" s="17" t="n">
        <v>6</v>
      </c>
      <c r="I37" s="13" t="s">
        <v>54</v>
      </c>
      <c r="J37" s="13" t="s">
        <v>182</v>
      </c>
      <c r="K37" s="15" t="s">
        <v>35</v>
      </c>
      <c r="L37" s="15" t="s">
        <v>187</v>
      </c>
      <c r="M37" s="18" t="s">
        <v>188</v>
      </c>
    </row>
    <row r="38" customFormat="false" ht="15" hidden="false" customHeight="false" outlineLevel="0" collapsed="false">
      <c r="A38" s="13" t="s">
        <v>32</v>
      </c>
      <c r="B38" s="14" t="s">
        <v>33</v>
      </c>
      <c r="C38" s="13" t="s">
        <v>34</v>
      </c>
      <c r="D38" s="13" t="s">
        <v>88</v>
      </c>
      <c r="E38" s="15" t="s">
        <v>117</v>
      </c>
      <c r="F38" s="19" t="s">
        <v>7</v>
      </c>
      <c r="G38" s="13" t="s">
        <v>90</v>
      </c>
      <c r="H38" s="17" t="n">
        <v>6</v>
      </c>
      <c r="I38" s="13" t="s">
        <v>54</v>
      </c>
      <c r="J38" s="13" t="s">
        <v>182</v>
      </c>
      <c r="K38" s="15" t="s">
        <v>35</v>
      </c>
      <c r="L38" s="15" t="s">
        <v>189</v>
      </c>
      <c r="M38" s="18" t="s">
        <v>190</v>
      </c>
    </row>
    <row r="39" customFormat="false" ht="15" hidden="false" customHeight="false" outlineLevel="0" collapsed="false">
      <c r="A39" s="13" t="s">
        <v>32</v>
      </c>
      <c r="B39" s="14" t="s">
        <v>33</v>
      </c>
      <c r="C39" s="13" t="s">
        <v>34</v>
      </c>
      <c r="D39" s="13" t="s">
        <v>103</v>
      </c>
      <c r="E39" s="15" t="s">
        <v>117</v>
      </c>
      <c r="F39" s="19" t="s">
        <v>7</v>
      </c>
      <c r="G39" s="13" t="s">
        <v>90</v>
      </c>
      <c r="H39" s="17" t="n">
        <v>6</v>
      </c>
      <c r="I39" s="13" t="s">
        <v>54</v>
      </c>
      <c r="J39" s="13" t="s">
        <v>182</v>
      </c>
      <c r="K39" s="15" t="s">
        <v>35</v>
      </c>
      <c r="L39" s="15" t="s">
        <v>191</v>
      </c>
      <c r="M39" s="18" t="s">
        <v>192</v>
      </c>
    </row>
    <row r="40" customFormat="false" ht="23.85" hidden="false" customHeight="false" outlineLevel="0" collapsed="false">
      <c r="A40" s="13" t="s">
        <v>36</v>
      </c>
      <c r="B40" s="14" t="s">
        <v>37</v>
      </c>
      <c r="C40" s="13" t="s">
        <v>14</v>
      </c>
      <c r="D40" s="13" t="s">
        <v>88</v>
      </c>
      <c r="E40" s="15" t="s">
        <v>193</v>
      </c>
      <c r="F40" s="16" t="s">
        <v>6</v>
      </c>
      <c r="G40" s="13" t="s">
        <v>90</v>
      </c>
      <c r="H40" s="17" t="n">
        <v>6.12</v>
      </c>
      <c r="I40" s="13" t="s">
        <v>54</v>
      </c>
      <c r="J40" s="13" t="s">
        <v>91</v>
      </c>
      <c r="K40" s="15" t="s">
        <v>16</v>
      </c>
      <c r="L40" s="15" t="s">
        <v>194</v>
      </c>
      <c r="M40" s="18" t="s">
        <v>195</v>
      </c>
    </row>
    <row r="41" customFormat="false" ht="23.85" hidden="false" customHeight="false" outlineLevel="0" collapsed="false">
      <c r="A41" s="13" t="s">
        <v>36</v>
      </c>
      <c r="B41" s="14" t="s">
        <v>37</v>
      </c>
      <c r="C41" s="13" t="s">
        <v>14</v>
      </c>
      <c r="D41" s="13" t="s">
        <v>88</v>
      </c>
      <c r="E41" s="15" t="s">
        <v>111</v>
      </c>
      <c r="F41" s="16" t="s">
        <v>6</v>
      </c>
      <c r="G41" s="13" t="s">
        <v>90</v>
      </c>
      <c r="H41" s="17" t="n">
        <v>7.12</v>
      </c>
      <c r="I41" s="13" t="s">
        <v>54</v>
      </c>
      <c r="J41" s="13" t="s">
        <v>91</v>
      </c>
      <c r="K41" s="15" t="s">
        <v>16</v>
      </c>
      <c r="L41" s="15" t="s">
        <v>196</v>
      </c>
      <c r="M41" s="18" t="s">
        <v>197</v>
      </c>
    </row>
    <row r="42" customFormat="false" ht="23.85" hidden="false" customHeight="false" outlineLevel="0" collapsed="false">
      <c r="A42" s="13" t="s">
        <v>36</v>
      </c>
      <c r="B42" s="14" t="s">
        <v>37</v>
      </c>
      <c r="C42" s="13" t="s">
        <v>14</v>
      </c>
      <c r="D42" s="13" t="s">
        <v>97</v>
      </c>
      <c r="E42" s="15" t="s">
        <v>141</v>
      </c>
      <c r="F42" s="16" t="s">
        <v>6</v>
      </c>
      <c r="G42" s="13" t="s">
        <v>90</v>
      </c>
      <c r="H42" s="17" t="n">
        <v>4.37</v>
      </c>
      <c r="I42" s="13" t="s">
        <v>7</v>
      </c>
      <c r="J42" s="13" t="s">
        <v>91</v>
      </c>
      <c r="K42" s="15" t="s">
        <v>16</v>
      </c>
      <c r="L42" s="15" t="s">
        <v>198</v>
      </c>
      <c r="M42" s="18" t="s">
        <v>199</v>
      </c>
    </row>
    <row r="43" customFormat="false" ht="23.85" hidden="false" customHeight="false" outlineLevel="0" collapsed="false">
      <c r="A43" s="13" t="s">
        <v>36</v>
      </c>
      <c r="B43" s="14" t="s">
        <v>37</v>
      </c>
      <c r="C43" s="13" t="s">
        <v>14</v>
      </c>
      <c r="D43" s="13" t="s">
        <v>103</v>
      </c>
      <c r="E43" s="15" t="s">
        <v>200</v>
      </c>
      <c r="F43" s="19" t="s">
        <v>7</v>
      </c>
      <c r="G43" s="13" t="s">
        <v>90</v>
      </c>
      <c r="H43" s="17" t="n">
        <v>4.62</v>
      </c>
      <c r="I43" s="13" t="s">
        <v>7</v>
      </c>
      <c r="J43" s="13" t="s">
        <v>91</v>
      </c>
      <c r="K43" s="15" t="s">
        <v>16</v>
      </c>
      <c r="L43" s="15" t="s">
        <v>201</v>
      </c>
      <c r="M43" s="18" t="s">
        <v>202</v>
      </c>
    </row>
    <row r="44" customFormat="false" ht="23.85" hidden="false" customHeight="false" outlineLevel="0" collapsed="false">
      <c r="A44" s="13" t="s">
        <v>36</v>
      </c>
      <c r="B44" s="14" t="s">
        <v>37</v>
      </c>
      <c r="C44" s="13" t="s">
        <v>14</v>
      </c>
      <c r="D44" s="13" t="s">
        <v>103</v>
      </c>
      <c r="E44" s="15" t="s">
        <v>117</v>
      </c>
      <c r="F44" s="19" t="s">
        <v>7</v>
      </c>
      <c r="G44" s="13" t="s">
        <v>90</v>
      </c>
      <c r="H44" s="17" t="n">
        <v>6</v>
      </c>
      <c r="I44" s="13" t="s">
        <v>54</v>
      </c>
      <c r="J44" s="13" t="s">
        <v>91</v>
      </c>
      <c r="K44" s="15" t="s">
        <v>16</v>
      </c>
      <c r="L44" s="15" t="s">
        <v>203</v>
      </c>
      <c r="M44" s="18" t="s">
        <v>204</v>
      </c>
    </row>
    <row r="45" customFormat="false" ht="15" hidden="false" customHeight="false" outlineLevel="0" collapsed="false">
      <c r="A45" s="13" t="s">
        <v>38</v>
      </c>
      <c r="B45" s="14" t="s">
        <v>39</v>
      </c>
      <c r="C45" s="13" t="s">
        <v>40</v>
      </c>
      <c r="D45" s="13" t="s">
        <v>88</v>
      </c>
      <c r="E45" s="15" t="s">
        <v>205</v>
      </c>
      <c r="F45" s="16" t="s">
        <v>6</v>
      </c>
      <c r="G45" s="13" t="s">
        <v>156</v>
      </c>
      <c r="H45" s="17" t="n">
        <v>6.5</v>
      </c>
      <c r="I45" s="13" t="s">
        <v>54</v>
      </c>
      <c r="J45" s="13" t="s">
        <v>206</v>
      </c>
      <c r="K45" s="15" t="s">
        <v>41</v>
      </c>
      <c r="L45" s="15" t="s">
        <v>207</v>
      </c>
      <c r="M45" s="18" t="s">
        <v>208</v>
      </c>
    </row>
    <row r="46" customFormat="false" ht="15" hidden="false" customHeight="false" outlineLevel="0" collapsed="false">
      <c r="A46" s="13" t="s">
        <v>38</v>
      </c>
      <c r="B46" s="14" t="s">
        <v>39</v>
      </c>
      <c r="C46" s="13" t="s">
        <v>40</v>
      </c>
      <c r="D46" s="13" t="s">
        <v>97</v>
      </c>
      <c r="E46" s="15" t="s">
        <v>209</v>
      </c>
      <c r="F46" s="16" t="s">
        <v>6</v>
      </c>
      <c r="G46" s="13" t="s">
        <v>156</v>
      </c>
      <c r="H46" s="17" t="n">
        <v>4.37</v>
      </c>
      <c r="I46" s="13" t="s">
        <v>7</v>
      </c>
      <c r="J46" s="13" t="s">
        <v>206</v>
      </c>
      <c r="K46" s="15" t="s">
        <v>41</v>
      </c>
      <c r="L46" s="15" t="s">
        <v>210</v>
      </c>
      <c r="M46" s="18" t="s">
        <v>208</v>
      </c>
    </row>
    <row r="47" customFormat="false" ht="15" hidden="false" customHeight="false" outlineLevel="0" collapsed="false">
      <c r="A47" s="13" t="s">
        <v>38</v>
      </c>
      <c r="B47" s="14" t="s">
        <v>39</v>
      </c>
      <c r="C47" s="13" t="s">
        <v>40</v>
      </c>
      <c r="D47" s="13" t="s">
        <v>97</v>
      </c>
      <c r="E47" s="15" t="s">
        <v>211</v>
      </c>
      <c r="F47" s="16" t="s">
        <v>6</v>
      </c>
      <c r="G47" s="13" t="s">
        <v>156</v>
      </c>
      <c r="H47" s="17" t="n">
        <v>4.37</v>
      </c>
      <c r="I47" s="13" t="s">
        <v>7</v>
      </c>
      <c r="J47" s="13" t="s">
        <v>206</v>
      </c>
      <c r="K47" s="15" t="s">
        <v>41</v>
      </c>
      <c r="L47" s="15" t="s">
        <v>212</v>
      </c>
      <c r="M47" s="18" t="s">
        <v>208</v>
      </c>
    </row>
    <row r="48" customFormat="false" ht="15" hidden="false" customHeight="false" outlineLevel="0" collapsed="false">
      <c r="A48" s="13" t="s">
        <v>38</v>
      </c>
      <c r="B48" s="14" t="s">
        <v>39</v>
      </c>
      <c r="C48" s="13" t="s">
        <v>40</v>
      </c>
      <c r="D48" s="13" t="s">
        <v>97</v>
      </c>
      <c r="E48" s="15" t="s">
        <v>213</v>
      </c>
      <c r="F48" s="16" t="s">
        <v>6</v>
      </c>
      <c r="G48" s="13" t="s">
        <v>156</v>
      </c>
      <c r="H48" s="17" t="n">
        <v>5.12</v>
      </c>
      <c r="I48" s="13" t="s">
        <v>54</v>
      </c>
      <c r="J48" s="13" t="s">
        <v>206</v>
      </c>
      <c r="K48" s="15" t="s">
        <v>41</v>
      </c>
      <c r="L48" s="15" t="s">
        <v>214</v>
      </c>
      <c r="M48" s="18" t="s">
        <v>208</v>
      </c>
    </row>
    <row r="49" customFormat="false" ht="15" hidden="false" customHeight="false" outlineLevel="0" collapsed="false">
      <c r="A49" s="13" t="s">
        <v>38</v>
      </c>
      <c r="B49" s="14" t="s">
        <v>39</v>
      </c>
      <c r="C49" s="13" t="s">
        <v>40</v>
      </c>
      <c r="D49" s="13" t="s">
        <v>103</v>
      </c>
      <c r="E49" s="15" t="s">
        <v>215</v>
      </c>
      <c r="F49" s="16" t="s">
        <v>6</v>
      </c>
      <c r="G49" s="13" t="s">
        <v>156</v>
      </c>
      <c r="H49" s="17" t="n">
        <v>4.37</v>
      </c>
      <c r="I49" s="13" t="s">
        <v>7</v>
      </c>
      <c r="J49" s="13" t="s">
        <v>206</v>
      </c>
      <c r="K49" s="15" t="s">
        <v>41</v>
      </c>
      <c r="L49" s="15" t="s">
        <v>216</v>
      </c>
      <c r="M49" s="18" t="s">
        <v>217</v>
      </c>
    </row>
    <row r="50" customFormat="false" ht="15" hidden="false" customHeight="false" outlineLevel="0" collapsed="false">
      <c r="A50" s="13" t="s">
        <v>42</v>
      </c>
      <c r="B50" s="14" t="s">
        <v>43</v>
      </c>
      <c r="C50" s="13" t="s">
        <v>44</v>
      </c>
      <c r="D50" s="13" t="s">
        <v>88</v>
      </c>
      <c r="E50" s="15" t="s">
        <v>218</v>
      </c>
      <c r="F50" s="16" t="s">
        <v>6</v>
      </c>
      <c r="G50" s="13" t="s">
        <v>90</v>
      </c>
      <c r="H50" s="17" t="n">
        <v>6.5</v>
      </c>
      <c r="I50" s="13" t="s">
        <v>54</v>
      </c>
      <c r="J50" s="13" t="s">
        <v>219</v>
      </c>
      <c r="K50" s="15" t="s">
        <v>45</v>
      </c>
      <c r="L50" s="15" t="s">
        <v>220</v>
      </c>
      <c r="M50" s="18" t="s">
        <v>221</v>
      </c>
    </row>
    <row r="51" customFormat="false" ht="15" hidden="false" customHeight="false" outlineLevel="0" collapsed="false">
      <c r="A51" s="13" t="s">
        <v>42</v>
      </c>
      <c r="B51" s="14" t="s">
        <v>43</v>
      </c>
      <c r="C51" s="13" t="s">
        <v>44</v>
      </c>
      <c r="D51" s="13" t="s">
        <v>88</v>
      </c>
      <c r="E51" s="15" t="s">
        <v>222</v>
      </c>
      <c r="F51" s="16" t="s">
        <v>6</v>
      </c>
      <c r="G51" s="13" t="s">
        <v>90</v>
      </c>
      <c r="H51" s="17" t="n">
        <v>6.75</v>
      </c>
      <c r="I51" s="13" t="s">
        <v>54</v>
      </c>
      <c r="J51" s="13" t="s">
        <v>219</v>
      </c>
      <c r="K51" s="15" t="s">
        <v>45</v>
      </c>
      <c r="L51" s="15" t="s">
        <v>223</v>
      </c>
      <c r="M51" s="18" t="s">
        <v>224</v>
      </c>
    </row>
    <row r="52" customFormat="false" ht="15" hidden="false" customHeight="false" outlineLevel="0" collapsed="false">
      <c r="A52" s="13" t="s">
        <v>42</v>
      </c>
      <c r="B52" s="14" t="s">
        <v>43</v>
      </c>
      <c r="C52" s="13" t="s">
        <v>44</v>
      </c>
      <c r="D52" s="13" t="s">
        <v>97</v>
      </c>
      <c r="E52" s="15" t="s">
        <v>225</v>
      </c>
      <c r="F52" s="19" t="s">
        <v>7</v>
      </c>
      <c r="G52" s="13" t="s">
        <v>90</v>
      </c>
      <c r="H52" s="17" t="n">
        <v>6.12</v>
      </c>
      <c r="I52" s="13" t="s">
        <v>54</v>
      </c>
      <c r="J52" s="13" t="s">
        <v>219</v>
      </c>
      <c r="K52" s="15" t="s">
        <v>45</v>
      </c>
      <c r="L52" s="15" t="s">
        <v>226</v>
      </c>
      <c r="M52" s="18" t="s">
        <v>227</v>
      </c>
    </row>
    <row r="53" customFormat="false" ht="15" hidden="false" customHeight="false" outlineLevel="0" collapsed="false">
      <c r="A53" s="13" t="s">
        <v>46</v>
      </c>
      <c r="B53" s="14" t="s">
        <v>47</v>
      </c>
      <c r="C53" s="13" t="s">
        <v>14</v>
      </c>
      <c r="D53" s="13" t="s">
        <v>88</v>
      </c>
      <c r="E53" s="15" t="s">
        <v>193</v>
      </c>
      <c r="F53" s="16" t="s">
        <v>6</v>
      </c>
      <c r="G53" s="13" t="s">
        <v>90</v>
      </c>
      <c r="H53" s="17" t="n">
        <v>6.12</v>
      </c>
      <c r="I53" s="13" t="s">
        <v>54</v>
      </c>
      <c r="J53" s="13" t="s">
        <v>91</v>
      </c>
      <c r="K53" s="15" t="s">
        <v>16</v>
      </c>
      <c r="L53" s="15" t="s">
        <v>194</v>
      </c>
      <c r="M53" s="18" t="s">
        <v>195</v>
      </c>
    </row>
    <row r="54" customFormat="false" ht="15" hidden="false" customHeight="false" outlineLevel="0" collapsed="false">
      <c r="A54" s="13" t="s">
        <v>46</v>
      </c>
      <c r="B54" s="14" t="s">
        <v>47</v>
      </c>
      <c r="C54" s="13" t="s">
        <v>14</v>
      </c>
      <c r="D54" s="13" t="s">
        <v>88</v>
      </c>
      <c r="E54" s="15" t="s">
        <v>98</v>
      </c>
      <c r="F54" s="16" t="s">
        <v>6</v>
      </c>
      <c r="G54" s="13" t="s">
        <v>90</v>
      </c>
      <c r="H54" s="17" t="n">
        <v>6.12</v>
      </c>
      <c r="I54" s="13" t="s">
        <v>54</v>
      </c>
      <c r="J54" s="13" t="s">
        <v>91</v>
      </c>
      <c r="K54" s="15" t="s">
        <v>16</v>
      </c>
      <c r="L54" s="15" t="s">
        <v>99</v>
      </c>
      <c r="M54" s="18" t="s">
        <v>100</v>
      </c>
    </row>
    <row r="55" customFormat="false" ht="15" hidden="false" customHeight="false" outlineLevel="0" collapsed="false">
      <c r="A55" s="13" t="s">
        <v>46</v>
      </c>
      <c r="B55" s="14" t="s">
        <v>47</v>
      </c>
      <c r="C55" s="13" t="s">
        <v>14</v>
      </c>
      <c r="D55" s="13" t="s">
        <v>97</v>
      </c>
      <c r="E55" s="15" t="s">
        <v>101</v>
      </c>
      <c r="F55" s="19" t="s">
        <v>7</v>
      </c>
      <c r="G55" s="13" t="s">
        <v>90</v>
      </c>
      <c r="H55" s="17" t="n">
        <v>4.75</v>
      </c>
      <c r="I55" s="13" t="s">
        <v>7</v>
      </c>
      <c r="J55" s="13" t="s">
        <v>91</v>
      </c>
      <c r="K55" s="15" t="s">
        <v>16</v>
      </c>
      <c r="L55" s="15" t="s">
        <v>102</v>
      </c>
      <c r="M55" s="18" t="s">
        <v>100</v>
      </c>
    </row>
    <row r="56" customFormat="false" ht="15" hidden="false" customHeight="false" outlineLevel="0" collapsed="false">
      <c r="A56" s="13" t="s">
        <v>46</v>
      </c>
      <c r="B56" s="14" t="s">
        <v>47</v>
      </c>
      <c r="C56" s="13" t="s">
        <v>14</v>
      </c>
      <c r="D56" s="13" t="s">
        <v>97</v>
      </c>
      <c r="E56" s="15" t="s">
        <v>141</v>
      </c>
      <c r="F56" s="16" t="s">
        <v>6</v>
      </c>
      <c r="G56" s="13" t="s">
        <v>90</v>
      </c>
      <c r="H56" s="17" t="n">
        <v>4.37</v>
      </c>
      <c r="I56" s="13" t="s">
        <v>7</v>
      </c>
      <c r="J56" s="13" t="s">
        <v>91</v>
      </c>
      <c r="K56" s="15" t="s">
        <v>16</v>
      </c>
      <c r="L56" s="15" t="s">
        <v>198</v>
      </c>
      <c r="M56" s="18" t="s">
        <v>199</v>
      </c>
    </row>
    <row r="57" customFormat="false" ht="15" hidden="false" customHeight="false" outlineLevel="0" collapsed="false">
      <c r="A57" s="13" t="s">
        <v>48</v>
      </c>
      <c r="B57" s="14" t="s">
        <v>49</v>
      </c>
      <c r="C57" s="13" t="s">
        <v>14</v>
      </c>
      <c r="D57" s="13" t="s">
        <v>103</v>
      </c>
      <c r="E57" s="15" t="s">
        <v>117</v>
      </c>
      <c r="F57" s="19" t="s">
        <v>7</v>
      </c>
      <c r="G57" s="13" t="s">
        <v>90</v>
      </c>
      <c r="H57" s="17" t="n">
        <v>6</v>
      </c>
      <c r="I57" s="13" t="s">
        <v>54</v>
      </c>
      <c r="J57" s="13" t="s">
        <v>91</v>
      </c>
      <c r="K57" s="15" t="s">
        <v>16</v>
      </c>
      <c r="L57" s="15" t="s">
        <v>203</v>
      </c>
      <c r="M57" s="18" t="s">
        <v>204</v>
      </c>
    </row>
    <row r="58" customFormat="false" ht="15" hidden="false" customHeight="false" outlineLevel="0" collapsed="false">
      <c r="A58" s="13" t="s">
        <v>48</v>
      </c>
      <c r="B58" s="14" t="s">
        <v>49</v>
      </c>
      <c r="C58" s="13" t="s">
        <v>14</v>
      </c>
      <c r="D58" s="13" t="s">
        <v>88</v>
      </c>
      <c r="E58" s="15" t="s">
        <v>200</v>
      </c>
      <c r="F58" s="19" t="s">
        <v>7</v>
      </c>
      <c r="G58" s="13" t="s">
        <v>90</v>
      </c>
      <c r="H58" s="17" t="n">
        <v>4.62</v>
      </c>
      <c r="I58" s="13" t="s">
        <v>7</v>
      </c>
      <c r="J58" s="13" t="s">
        <v>91</v>
      </c>
      <c r="K58" s="15" t="s">
        <v>16</v>
      </c>
      <c r="L58" s="15" t="s">
        <v>201</v>
      </c>
      <c r="M58" s="18" t="s">
        <v>202</v>
      </c>
    </row>
    <row r="59" customFormat="false" ht="15" hidden="false" customHeight="false" outlineLevel="0" collapsed="false">
      <c r="A59" s="13" t="s">
        <v>48</v>
      </c>
      <c r="B59" s="14" t="s">
        <v>49</v>
      </c>
      <c r="C59" s="13" t="s">
        <v>14</v>
      </c>
      <c r="D59" s="13" t="s">
        <v>88</v>
      </c>
      <c r="E59" s="15" t="s">
        <v>111</v>
      </c>
      <c r="F59" s="16" t="s">
        <v>6</v>
      </c>
      <c r="G59" s="13" t="s">
        <v>90</v>
      </c>
      <c r="H59" s="17" t="n">
        <v>7.12</v>
      </c>
      <c r="I59" s="13" t="s">
        <v>54</v>
      </c>
      <c r="J59" s="13" t="s">
        <v>91</v>
      </c>
      <c r="K59" s="15" t="s">
        <v>16</v>
      </c>
      <c r="L59" s="15" t="s">
        <v>196</v>
      </c>
      <c r="M59" s="18" t="s">
        <v>197</v>
      </c>
    </row>
    <row r="60" customFormat="false" ht="15" hidden="false" customHeight="false" outlineLevel="0" collapsed="false">
      <c r="A60" s="13" t="s">
        <v>48</v>
      </c>
      <c r="B60" s="14" t="s">
        <v>49</v>
      </c>
      <c r="C60" s="13" t="s">
        <v>14</v>
      </c>
      <c r="D60" s="13" t="s">
        <v>97</v>
      </c>
      <c r="E60" s="15" t="s">
        <v>141</v>
      </c>
      <c r="F60" s="16" t="s">
        <v>6</v>
      </c>
      <c r="G60" s="13" t="s">
        <v>90</v>
      </c>
      <c r="H60" s="17" t="n">
        <v>4.37</v>
      </c>
      <c r="I60" s="13" t="s">
        <v>7</v>
      </c>
      <c r="J60" s="13" t="s">
        <v>91</v>
      </c>
      <c r="K60" s="15" t="s">
        <v>16</v>
      </c>
      <c r="L60" s="15" t="s">
        <v>198</v>
      </c>
      <c r="M60" s="18" t="s">
        <v>199</v>
      </c>
    </row>
    <row r="61" customFormat="false" ht="15" hidden="false" customHeight="false" outlineLevel="0" collapsed="false">
      <c r="A61" s="13" t="s">
        <v>50</v>
      </c>
      <c r="B61" s="14" t="s">
        <v>51</v>
      </c>
      <c r="C61" s="13" t="s">
        <v>14</v>
      </c>
      <c r="D61" s="13" t="s">
        <v>88</v>
      </c>
      <c r="E61" s="15" t="s">
        <v>89</v>
      </c>
      <c r="F61" s="16" t="s">
        <v>6</v>
      </c>
      <c r="G61" s="13" t="s">
        <v>90</v>
      </c>
      <c r="H61" s="17" t="n">
        <v>7.75</v>
      </c>
      <c r="I61" s="13" t="s">
        <v>15</v>
      </c>
      <c r="J61" s="13" t="s">
        <v>91</v>
      </c>
      <c r="K61" s="15" t="s">
        <v>16</v>
      </c>
      <c r="L61" s="15" t="s">
        <v>92</v>
      </c>
      <c r="M61" s="18" t="s">
        <v>93</v>
      </c>
    </row>
    <row r="62" customFormat="false" ht="15" hidden="false" customHeight="false" outlineLevel="0" collapsed="false">
      <c r="A62" s="13" t="s">
        <v>50</v>
      </c>
      <c r="B62" s="14" t="s">
        <v>51</v>
      </c>
      <c r="C62" s="13" t="s">
        <v>14</v>
      </c>
      <c r="D62" s="13" t="s">
        <v>103</v>
      </c>
      <c r="E62" s="15" t="s">
        <v>104</v>
      </c>
      <c r="F62" s="19" t="s">
        <v>7</v>
      </c>
      <c r="G62" s="13" t="s">
        <v>90</v>
      </c>
      <c r="H62" s="17" t="n">
        <v>7.75</v>
      </c>
      <c r="I62" s="13" t="s">
        <v>15</v>
      </c>
      <c r="J62" s="13" t="s">
        <v>91</v>
      </c>
      <c r="K62" s="15" t="s">
        <v>16</v>
      </c>
      <c r="L62" s="15" t="s">
        <v>105</v>
      </c>
      <c r="M62" s="18" t="s">
        <v>106</v>
      </c>
    </row>
    <row r="63" customFormat="false" ht="15" hidden="false" customHeight="false" outlineLevel="0" collapsed="false">
      <c r="A63" s="13" t="s">
        <v>50</v>
      </c>
      <c r="B63" s="14" t="s">
        <v>51</v>
      </c>
      <c r="C63" s="13" t="s">
        <v>14</v>
      </c>
      <c r="D63" s="13" t="s">
        <v>88</v>
      </c>
      <c r="E63" s="15" t="s">
        <v>141</v>
      </c>
      <c r="F63" s="16" t="s">
        <v>6</v>
      </c>
      <c r="G63" s="13" t="s">
        <v>90</v>
      </c>
      <c r="H63" s="17" t="n">
        <v>4.37</v>
      </c>
      <c r="I63" s="13" t="s">
        <v>7</v>
      </c>
      <c r="J63" s="13" t="s">
        <v>91</v>
      </c>
      <c r="K63" s="15" t="s">
        <v>16</v>
      </c>
      <c r="L63" s="15" t="s">
        <v>198</v>
      </c>
      <c r="M63" s="18" t="s">
        <v>199</v>
      </c>
    </row>
    <row r="64" customFormat="false" ht="15" hidden="false" customHeight="false" outlineLevel="0" collapsed="false">
      <c r="A64" s="13" t="s">
        <v>50</v>
      </c>
      <c r="B64" s="14" t="s">
        <v>51</v>
      </c>
      <c r="C64" s="13" t="s">
        <v>14</v>
      </c>
      <c r="D64" s="13" t="s">
        <v>97</v>
      </c>
      <c r="E64" s="15" t="s">
        <v>101</v>
      </c>
      <c r="F64" s="19" t="s">
        <v>7</v>
      </c>
      <c r="G64" s="13" t="s">
        <v>90</v>
      </c>
      <c r="H64" s="17" t="n">
        <v>4.75</v>
      </c>
      <c r="I64" s="13" t="s">
        <v>7</v>
      </c>
      <c r="J64" s="13" t="s">
        <v>91</v>
      </c>
      <c r="K64" s="15" t="s">
        <v>16</v>
      </c>
      <c r="L64" s="15" t="s">
        <v>102</v>
      </c>
      <c r="M64" s="18" t="s">
        <v>100</v>
      </c>
    </row>
    <row r="65" customFormat="false" ht="22.35" hidden="false" customHeight="false" outlineLevel="0" collapsed="false">
      <c r="A65" s="13" t="s">
        <v>52</v>
      </c>
      <c r="B65" s="14" t="s">
        <v>53</v>
      </c>
      <c r="C65" s="13" t="s">
        <v>19</v>
      </c>
      <c r="D65" s="13" t="s">
        <v>103</v>
      </c>
      <c r="E65" s="15" t="s">
        <v>120</v>
      </c>
      <c r="F65" s="19" t="s">
        <v>7</v>
      </c>
      <c r="G65" s="13" t="s">
        <v>90</v>
      </c>
      <c r="H65" s="17" t="n">
        <v>4.75</v>
      </c>
      <c r="I65" s="13" t="s">
        <v>7</v>
      </c>
      <c r="J65" s="13" t="s">
        <v>108</v>
      </c>
      <c r="K65" s="15" t="s">
        <v>20</v>
      </c>
      <c r="L65" s="15" t="s">
        <v>121</v>
      </c>
      <c r="M65" s="18" t="s">
        <v>122</v>
      </c>
    </row>
    <row r="66" customFormat="false" ht="22.35" hidden="false" customHeight="false" outlineLevel="0" collapsed="false">
      <c r="A66" s="13" t="s">
        <v>52</v>
      </c>
      <c r="B66" s="14" t="s">
        <v>53</v>
      </c>
      <c r="C66" s="13" t="s">
        <v>19</v>
      </c>
      <c r="D66" s="13" t="s">
        <v>88</v>
      </c>
      <c r="E66" s="15" t="s">
        <v>114</v>
      </c>
      <c r="F66" s="16" t="s">
        <v>6</v>
      </c>
      <c r="G66" s="13" t="s">
        <v>90</v>
      </c>
      <c r="H66" s="17" t="n">
        <v>5.75</v>
      </c>
      <c r="I66" s="13" t="s">
        <v>54</v>
      </c>
      <c r="J66" s="13" t="s">
        <v>108</v>
      </c>
      <c r="K66" s="15" t="s">
        <v>20</v>
      </c>
      <c r="L66" s="15" t="s">
        <v>115</v>
      </c>
      <c r="M66" s="18" t="s">
        <v>116</v>
      </c>
    </row>
    <row r="67" customFormat="false" ht="15" hidden="false" customHeight="false" outlineLevel="0" collapsed="false">
      <c r="A67" s="13" t="s">
        <v>52</v>
      </c>
      <c r="B67" s="14" t="s">
        <v>53</v>
      </c>
      <c r="C67" s="13" t="s">
        <v>19</v>
      </c>
      <c r="D67" s="13" t="s">
        <v>88</v>
      </c>
      <c r="E67" s="15" t="s">
        <v>178</v>
      </c>
      <c r="F67" s="20" t="s">
        <v>166</v>
      </c>
      <c r="G67" s="13" t="s">
        <v>90</v>
      </c>
      <c r="H67" s="17" t="n">
        <v>4.62</v>
      </c>
      <c r="I67" s="13" t="s">
        <v>7</v>
      </c>
      <c r="J67" s="13" t="s">
        <v>108</v>
      </c>
      <c r="K67" s="15" t="s">
        <v>20</v>
      </c>
      <c r="L67" s="15" t="s">
        <v>179</v>
      </c>
      <c r="M67" s="18" t="s">
        <v>180</v>
      </c>
    </row>
    <row r="68" customFormat="false" ht="15" hidden="false" customHeight="false" outlineLevel="0" collapsed="false">
      <c r="A68" s="13" t="s">
        <v>52</v>
      </c>
      <c r="B68" s="14" t="s">
        <v>53</v>
      </c>
      <c r="C68" s="13" t="s">
        <v>19</v>
      </c>
      <c r="D68" s="13" t="s">
        <v>97</v>
      </c>
      <c r="E68" s="15" t="s">
        <v>169</v>
      </c>
      <c r="F68" s="20" t="s">
        <v>166</v>
      </c>
      <c r="G68" s="13" t="s">
        <v>90</v>
      </c>
      <c r="H68" s="17" t="n">
        <v>5.12</v>
      </c>
      <c r="I68" s="13" t="s">
        <v>54</v>
      </c>
      <c r="J68" s="13" t="s">
        <v>108</v>
      </c>
      <c r="K68" s="15" t="s">
        <v>20</v>
      </c>
      <c r="L68" s="15" t="s">
        <v>170</v>
      </c>
      <c r="M68" s="18" t="s">
        <v>171</v>
      </c>
    </row>
    <row r="69" customFormat="false" ht="22.35" hidden="false" customHeight="false" outlineLevel="0" collapsed="false">
      <c r="A69" s="13" t="s">
        <v>55</v>
      </c>
      <c r="B69" s="14" t="s">
        <v>56</v>
      </c>
      <c r="C69" s="13" t="s">
        <v>19</v>
      </c>
      <c r="D69" s="13" t="s">
        <v>103</v>
      </c>
      <c r="E69" s="15" t="s">
        <v>125</v>
      </c>
      <c r="F69" s="16" t="s">
        <v>6</v>
      </c>
      <c r="G69" s="13" t="s">
        <v>90</v>
      </c>
      <c r="H69" s="17" t="n">
        <v>6.75</v>
      </c>
      <c r="I69" s="13" t="s">
        <v>54</v>
      </c>
      <c r="J69" s="13" t="s">
        <v>108</v>
      </c>
      <c r="K69" s="15" t="s">
        <v>20</v>
      </c>
      <c r="L69" s="15" t="s">
        <v>126</v>
      </c>
      <c r="M69" s="18" t="s">
        <v>127</v>
      </c>
    </row>
    <row r="70" customFormat="false" ht="22.35" hidden="false" customHeight="false" outlineLevel="0" collapsed="false">
      <c r="A70" s="13" t="s">
        <v>55</v>
      </c>
      <c r="B70" s="14" t="s">
        <v>56</v>
      </c>
      <c r="C70" s="13" t="s">
        <v>19</v>
      </c>
      <c r="D70" s="13" t="s">
        <v>88</v>
      </c>
      <c r="E70" s="15" t="s">
        <v>123</v>
      </c>
      <c r="F70" s="16" t="s">
        <v>6</v>
      </c>
      <c r="G70" s="13" t="s">
        <v>90</v>
      </c>
      <c r="H70" s="17" t="n">
        <v>7.5</v>
      </c>
      <c r="I70" s="13" t="s">
        <v>54</v>
      </c>
      <c r="J70" s="13" t="s">
        <v>108</v>
      </c>
      <c r="K70" s="15" t="s">
        <v>20</v>
      </c>
      <c r="L70" s="15" t="s">
        <v>124</v>
      </c>
      <c r="M70" s="18" t="s">
        <v>110</v>
      </c>
    </row>
    <row r="71" customFormat="false" ht="15" hidden="false" customHeight="false" outlineLevel="0" collapsed="false">
      <c r="A71" s="13" t="s">
        <v>55</v>
      </c>
      <c r="B71" s="14" t="s">
        <v>56</v>
      </c>
      <c r="C71" s="13" t="s">
        <v>19</v>
      </c>
      <c r="D71" s="13" t="s">
        <v>97</v>
      </c>
      <c r="E71" s="15" t="s">
        <v>169</v>
      </c>
      <c r="F71" s="20" t="s">
        <v>166</v>
      </c>
      <c r="G71" s="13" t="s">
        <v>90</v>
      </c>
      <c r="H71" s="17" t="n">
        <v>5.12</v>
      </c>
      <c r="I71" s="13" t="s">
        <v>54</v>
      </c>
      <c r="J71" s="13" t="s">
        <v>108</v>
      </c>
      <c r="K71" s="15" t="s">
        <v>20</v>
      </c>
      <c r="L71" s="15" t="s">
        <v>170</v>
      </c>
      <c r="M71" s="18" t="s">
        <v>171</v>
      </c>
    </row>
    <row r="72" customFormat="false" ht="22.35" hidden="false" customHeight="false" outlineLevel="0" collapsed="false">
      <c r="A72" s="13" t="s">
        <v>55</v>
      </c>
      <c r="B72" s="14" t="s">
        <v>56</v>
      </c>
      <c r="C72" s="13" t="s">
        <v>19</v>
      </c>
      <c r="D72" s="13" t="s">
        <v>97</v>
      </c>
      <c r="E72" s="15" t="s">
        <v>175</v>
      </c>
      <c r="F72" s="20" t="s">
        <v>166</v>
      </c>
      <c r="G72" s="13" t="s">
        <v>90</v>
      </c>
      <c r="H72" s="17" t="n">
        <v>4.75</v>
      </c>
      <c r="I72" s="13" t="s">
        <v>7</v>
      </c>
      <c r="J72" s="13" t="s">
        <v>108</v>
      </c>
      <c r="K72" s="15" t="s">
        <v>20</v>
      </c>
      <c r="L72" s="15" t="s">
        <v>176</v>
      </c>
      <c r="M72" s="18" t="s">
        <v>177</v>
      </c>
    </row>
    <row r="73" customFormat="false" ht="22.35" hidden="false" customHeight="false" outlineLevel="0" collapsed="false">
      <c r="A73" s="13" t="s">
        <v>57</v>
      </c>
      <c r="B73" s="14" t="s">
        <v>58</v>
      </c>
      <c r="C73" s="13" t="s">
        <v>19</v>
      </c>
      <c r="D73" s="13" t="s">
        <v>88</v>
      </c>
      <c r="E73" s="15" t="s">
        <v>131</v>
      </c>
      <c r="F73" s="19" t="s">
        <v>7</v>
      </c>
      <c r="G73" s="13" t="s">
        <v>90</v>
      </c>
      <c r="H73" s="17" t="n">
        <v>5.75</v>
      </c>
      <c r="I73" s="13" t="s">
        <v>54</v>
      </c>
      <c r="J73" s="13" t="s">
        <v>108</v>
      </c>
      <c r="K73" s="15" t="s">
        <v>20</v>
      </c>
      <c r="L73" s="15" t="s">
        <v>132</v>
      </c>
      <c r="M73" s="18" t="s">
        <v>133</v>
      </c>
    </row>
    <row r="74" customFormat="false" ht="22.35" hidden="false" customHeight="false" outlineLevel="0" collapsed="false">
      <c r="A74" s="13" t="s">
        <v>57</v>
      </c>
      <c r="B74" s="14" t="s">
        <v>58</v>
      </c>
      <c r="C74" s="13" t="s">
        <v>19</v>
      </c>
      <c r="D74" s="13" t="s">
        <v>88</v>
      </c>
      <c r="E74" s="15" t="s">
        <v>134</v>
      </c>
      <c r="F74" s="19" t="s">
        <v>7</v>
      </c>
      <c r="G74" s="13" t="s">
        <v>90</v>
      </c>
      <c r="H74" s="17" t="n">
        <v>5</v>
      </c>
      <c r="I74" s="13" t="s">
        <v>7</v>
      </c>
      <c r="J74" s="13" t="s">
        <v>108</v>
      </c>
      <c r="K74" s="15" t="s">
        <v>20</v>
      </c>
      <c r="L74" s="15" t="s">
        <v>135</v>
      </c>
      <c r="M74" s="18" t="s">
        <v>136</v>
      </c>
    </row>
    <row r="75" customFormat="false" ht="22.35" hidden="false" customHeight="false" outlineLevel="0" collapsed="false">
      <c r="A75" s="13" t="s">
        <v>57</v>
      </c>
      <c r="B75" s="14" t="s">
        <v>58</v>
      </c>
      <c r="C75" s="13" t="s">
        <v>19</v>
      </c>
      <c r="D75" s="13" t="s">
        <v>97</v>
      </c>
      <c r="E75" s="15" t="s">
        <v>128</v>
      </c>
      <c r="F75" s="16" t="s">
        <v>6</v>
      </c>
      <c r="G75" s="13" t="s">
        <v>90</v>
      </c>
      <c r="H75" s="17" t="n">
        <v>7.12</v>
      </c>
      <c r="I75" s="13" t="s">
        <v>54</v>
      </c>
      <c r="J75" s="13" t="s">
        <v>108</v>
      </c>
      <c r="K75" s="15" t="s">
        <v>20</v>
      </c>
      <c r="L75" s="15" t="s">
        <v>129</v>
      </c>
      <c r="M75" s="18" t="s">
        <v>130</v>
      </c>
    </row>
    <row r="76" customFormat="false" ht="22.35" hidden="false" customHeight="false" outlineLevel="0" collapsed="false">
      <c r="A76" s="13" t="s">
        <v>57</v>
      </c>
      <c r="B76" s="14" t="s">
        <v>58</v>
      </c>
      <c r="C76" s="13" t="s">
        <v>19</v>
      </c>
      <c r="D76" s="13" t="s">
        <v>103</v>
      </c>
      <c r="E76" s="15" t="s">
        <v>175</v>
      </c>
      <c r="F76" s="20" t="s">
        <v>166</v>
      </c>
      <c r="G76" s="13" t="s">
        <v>90</v>
      </c>
      <c r="H76" s="17" t="n">
        <v>4.75</v>
      </c>
      <c r="I76" s="13" t="s">
        <v>7</v>
      </c>
      <c r="J76" s="13" t="s">
        <v>108</v>
      </c>
      <c r="K76" s="15" t="s">
        <v>20</v>
      </c>
      <c r="L76" s="15" t="s">
        <v>176</v>
      </c>
      <c r="M76" s="18" t="s">
        <v>177</v>
      </c>
    </row>
    <row r="77" customFormat="false" ht="15" hidden="false" customHeight="false" outlineLevel="0" collapsed="false">
      <c r="A77" s="13" t="s">
        <v>59</v>
      </c>
      <c r="B77" s="14" t="s">
        <v>60</v>
      </c>
      <c r="C77" s="13" t="s">
        <v>19</v>
      </c>
      <c r="D77" s="13" t="s">
        <v>88</v>
      </c>
      <c r="E77" s="15" t="s">
        <v>172</v>
      </c>
      <c r="F77" s="20" t="s">
        <v>166</v>
      </c>
      <c r="G77" s="13" t="s">
        <v>90</v>
      </c>
      <c r="H77" s="17" t="n">
        <v>5.75</v>
      </c>
      <c r="I77" s="13" t="s">
        <v>54</v>
      </c>
      <c r="J77" s="13" t="s">
        <v>108</v>
      </c>
      <c r="K77" s="15" t="s">
        <v>20</v>
      </c>
      <c r="L77" s="15" t="s">
        <v>173</v>
      </c>
      <c r="M77" s="18" t="s">
        <v>174</v>
      </c>
    </row>
    <row r="78" customFormat="false" ht="22.35" hidden="false" customHeight="false" outlineLevel="0" collapsed="false">
      <c r="A78" s="13" t="s">
        <v>59</v>
      </c>
      <c r="B78" s="14" t="s">
        <v>60</v>
      </c>
      <c r="C78" s="13" t="s">
        <v>19</v>
      </c>
      <c r="D78" s="13" t="s">
        <v>103</v>
      </c>
      <c r="E78" s="15" t="s">
        <v>117</v>
      </c>
      <c r="F78" s="19" t="s">
        <v>7</v>
      </c>
      <c r="G78" s="13" t="s">
        <v>90</v>
      </c>
      <c r="H78" s="17" t="n">
        <v>6</v>
      </c>
      <c r="I78" s="13" t="s">
        <v>54</v>
      </c>
      <c r="J78" s="13" t="s">
        <v>108</v>
      </c>
      <c r="K78" s="15" t="s">
        <v>20</v>
      </c>
      <c r="L78" s="15" t="s">
        <v>118</v>
      </c>
      <c r="M78" s="18" t="s">
        <v>119</v>
      </c>
    </row>
    <row r="79" customFormat="false" ht="22.35" hidden="false" customHeight="false" outlineLevel="0" collapsed="false">
      <c r="A79" s="13" t="s">
        <v>59</v>
      </c>
      <c r="B79" s="14" t="s">
        <v>60</v>
      </c>
      <c r="C79" s="13" t="s">
        <v>19</v>
      </c>
      <c r="D79" s="13" t="s">
        <v>88</v>
      </c>
      <c r="E79" s="15" t="s">
        <v>107</v>
      </c>
      <c r="F79" s="16" t="s">
        <v>6</v>
      </c>
      <c r="G79" s="13" t="s">
        <v>90</v>
      </c>
      <c r="H79" s="17" t="n">
        <v>7.12</v>
      </c>
      <c r="I79" s="13" t="s">
        <v>54</v>
      </c>
      <c r="J79" s="13" t="s">
        <v>108</v>
      </c>
      <c r="K79" s="15" t="s">
        <v>20</v>
      </c>
      <c r="L79" s="15" t="s">
        <v>109</v>
      </c>
      <c r="M79" s="18" t="s">
        <v>110</v>
      </c>
    </row>
    <row r="80" customFormat="false" ht="15" hidden="false" customHeight="false" outlineLevel="0" collapsed="false">
      <c r="A80" s="13" t="s">
        <v>59</v>
      </c>
      <c r="B80" s="14" t="s">
        <v>60</v>
      </c>
      <c r="C80" s="13" t="s">
        <v>19</v>
      </c>
      <c r="D80" s="13" t="s">
        <v>97</v>
      </c>
      <c r="E80" s="15" t="s">
        <v>178</v>
      </c>
      <c r="F80" s="20" t="s">
        <v>166</v>
      </c>
      <c r="G80" s="13" t="s">
        <v>90</v>
      </c>
      <c r="H80" s="17" t="n">
        <v>4.62</v>
      </c>
      <c r="I80" s="13" t="s">
        <v>7</v>
      </c>
      <c r="J80" s="13" t="s">
        <v>108</v>
      </c>
      <c r="K80" s="15" t="s">
        <v>20</v>
      </c>
      <c r="L80" s="15" t="s">
        <v>179</v>
      </c>
      <c r="M80" s="18" t="s">
        <v>180</v>
      </c>
    </row>
    <row r="81" customFormat="false" ht="15" hidden="false" customHeight="false" outlineLevel="0" collapsed="false">
      <c r="A81" s="13" t="s">
        <v>61</v>
      </c>
      <c r="B81" s="14" t="s">
        <v>62</v>
      </c>
      <c r="C81" s="13" t="s">
        <v>25</v>
      </c>
      <c r="D81" s="13" t="s">
        <v>88</v>
      </c>
      <c r="E81" s="15" t="s">
        <v>146</v>
      </c>
      <c r="F81" s="19" t="s">
        <v>7</v>
      </c>
      <c r="G81" s="13" t="s">
        <v>90</v>
      </c>
      <c r="H81" s="17" t="n">
        <v>4.75</v>
      </c>
      <c r="I81" s="13" t="s">
        <v>7</v>
      </c>
      <c r="J81" s="13" t="s">
        <v>138</v>
      </c>
      <c r="K81" s="15" t="s">
        <v>26</v>
      </c>
      <c r="L81" s="15" t="s">
        <v>147</v>
      </c>
      <c r="M81" s="18" t="s">
        <v>148</v>
      </c>
    </row>
    <row r="82" customFormat="false" ht="15" hidden="false" customHeight="false" outlineLevel="0" collapsed="false">
      <c r="A82" s="13" t="s">
        <v>61</v>
      </c>
      <c r="B82" s="14" t="s">
        <v>62</v>
      </c>
      <c r="C82" s="13" t="s">
        <v>25</v>
      </c>
      <c r="D82" s="13" t="s">
        <v>88</v>
      </c>
      <c r="E82" s="15" t="s">
        <v>144</v>
      </c>
      <c r="F82" s="19" t="s">
        <v>7</v>
      </c>
      <c r="G82" s="13" t="s">
        <v>90</v>
      </c>
      <c r="H82" s="17" t="n">
        <v>5.75</v>
      </c>
      <c r="I82" s="13" t="s">
        <v>54</v>
      </c>
      <c r="J82" s="13" t="s">
        <v>138</v>
      </c>
      <c r="K82" s="15" t="s">
        <v>26</v>
      </c>
      <c r="L82" s="15" t="s">
        <v>145</v>
      </c>
      <c r="M82" s="18" t="s">
        <v>143</v>
      </c>
    </row>
    <row r="83" customFormat="false" ht="15" hidden="false" customHeight="false" outlineLevel="0" collapsed="false">
      <c r="A83" s="13" t="s">
        <v>61</v>
      </c>
      <c r="B83" s="14" t="s">
        <v>62</v>
      </c>
      <c r="C83" s="13" t="s">
        <v>25</v>
      </c>
      <c r="D83" s="13" t="s">
        <v>97</v>
      </c>
      <c r="E83" s="15" t="s">
        <v>141</v>
      </c>
      <c r="F83" s="16" t="s">
        <v>6</v>
      </c>
      <c r="G83" s="13" t="s">
        <v>90</v>
      </c>
      <c r="H83" s="17" t="n">
        <v>4.37</v>
      </c>
      <c r="I83" s="13" t="s">
        <v>7</v>
      </c>
      <c r="J83" s="13" t="s">
        <v>138</v>
      </c>
      <c r="K83" s="15" t="s">
        <v>26</v>
      </c>
      <c r="L83" s="15" t="s">
        <v>142</v>
      </c>
      <c r="M83" s="18" t="s">
        <v>143</v>
      </c>
    </row>
    <row r="84" customFormat="false" ht="15" hidden="false" customHeight="false" outlineLevel="0" collapsed="false">
      <c r="A84" s="13" t="s">
        <v>61</v>
      </c>
      <c r="B84" s="14" t="s">
        <v>62</v>
      </c>
      <c r="C84" s="13" t="s">
        <v>25</v>
      </c>
      <c r="D84" s="13" t="s">
        <v>103</v>
      </c>
      <c r="E84" s="15" t="s">
        <v>149</v>
      </c>
      <c r="F84" s="19" t="s">
        <v>7</v>
      </c>
      <c r="G84" s="13" t="s">
        <v>90</v>
      </c>
      <c r="H84" s="17" t="n">
        <v>5.25</v>
      </c>
      <c r="I84" s="13" t="s">
        <v>54</v>
      </c>
      <c r="J84" s="13" t="s">
        <v>138</v>
      </c>
      <c r="K84" s="15" t="s">
        <v>26</v>
      </c>
      <c r="L84" s="15" t="s">
        <v>150</v>
      </c>
      <c r="M84" s="18" t="s">
        <v>151</v>
      </c>
    </row>
    <row r="85" customFormat="false" ht="15" hidden="false" customHeight="false" outlineLevel="0" collapsed="false">
      <c r="A85" s="13" t="s">
        <v>63</v>
      </c>
      <c r="B85" s="14" t="s">
        <v>64</v>
      </c>
      <c r="C85" s="13" t="s">
        <v>65</v>
      </c>
      <c r="D85" s="13" t="s">
        <v>88</v>
      </c>
      <c r="E85" s="15" t="s">
        <v>160</v>
      </c>
      <c r="F85" s="16" t="s">
        <v>6</v>
      </c>
      <c r="G85" s="13" t="s">
        <v>156</v>
      </c>
      <c r="H85" s="17" t="n">
        <v>6.5</v>
      </c>
      <c r="I85" s="13" t="s">
        <v>54</v>
      </c>
      <c r="J85" s="13" t="s">
        <v>138</v>
      </c>
      <c r="K85" s="15" t="s">
        <v>26</v>
      </c>
      <c r="L85" s="15" t="s">
        <v>161</v>
      </c>
      <c r="M85" s="18"/>
    </row>
    <row r="86" customFormat="false" ht="15" hidden="false" customHeight="false" outlineLevel="0" collapsed="false">
      <c r="A86" s="13" t="s">
        <v>63</v>
      </c>
      <c r="B86" s="14" t="s">
        <v>64</v>
      </c>
      <c r="C86" s="13" t="s">
        <v>65</v>
      </c>
      <c r="D86" s="13" t="s">
        <v>103</v>
      </c>
      <c r="E86" s="15" t="s">
        <v>162</v>
      </c>
      <c r="F86" s="19" t="s">
        <v>7</v>
      </c>
      <c r="G86" s="13" t="s">
        <v>156</v>
      </c>
      <c r="H86" s="17" t="n">
        <v>1.12</v>
      </c>
      <c r="I86" s="13" t="s">
        <v>163</v>
      </c>
      <c r="J86" s="13" t="s">
        <v>138</v>
      </c>
      <c r="K86" s="15" t="s">
        <v>26</v>
      </c>
      <c r="L86" s="15" t="s">
        <v>164</v>
      </c>
      <c r="M86" s="18"/>
    </row>
    <row r="87" customFormat="false" ht="15" hidden="false" customHeight="false" outlineLevel="0" collapsed="false">
      <c r="A87" s="13" t="s">
        <v>63</v>
      </c>
      <c r="B87" s="14" t="s">
        <v>64</v>
      </c>
      <c r="C87" s="13" t="s">
        <v>65</v>
      </c>
      <c r="D87" s="13" t="s">
        <v>97</v>
      </c>
      <c r="E87" s="15" t="s">
        <v>158</v>
      </c>
      <c r="F87" s="16" t="s">
        <v>6</v>
      </c>
      <c r="G87" s="13" t="s">
        <v>156</v>
      </c>
      <c r="H87" s="17" t="n">
        <v>5.87</v>
      </c>
      <c r="I87" s="13" t="s">
        <v>54</v>
      </c>
      <c r="J87" s="13" t="s">
        <v>138</v>
      </c>
      <c r="K87" s="15" t="s">
        <v>26</v>
      </c>
      <c r="L87" s="15" t="s">
        <v>159</v>
      </c>
      <c r="M87" s="18"/>
    </row>
    <row r="88" customFormat="false" ht="15" hidden="false" customHeight="false" outlineLevel="0" collapsed="false">
      <c r="A88" s="13" t="s">
        <v>63</v>
      </c>
      <c r="B88" s="14" t="s">
        <v>64</v>
      </c>
      <c r="C88" s="13" t="s">
        <v>65</v>
      </c>
      <c r="D88" s="13" t="s">
        <v>97</v>
      </c>
      <c r="E88" s="15" t="s">
        <v>149</v>
      </c>
      <c r="F88" s="19" t="s">
        <v>7</v>
      </c>
      <c r="G88" s="13" t="s">
        <v>90</v>
      </c>
      <c r="H88" s="17" t="n">
        <v>5.25</v>
      </c>
      <c r="I88" s="13" t="s">
        <v>54</v>
      </c>
      <c r="J88" s="13" t="s">
        <v>138</v>
      </c>
      <c r="K88" s="15" t="s">
        <v>26</v>
      </c>
      <c r="L88" s="15" t="s">
        <v>150</v>
      </c>
      <c r="M88" s="18" t="s">
        <v>151</v>
      </c>
    </row>
    <row r="89" customFormat="false" ht="15" hidden="false" customHeight="false" outlineLevel="0" collapsed="false">
      <c r="A89" s="13" t="s">
        <v>66</v>
      </c>
      <c r="B89" s="14" t="s">
        <v>67</v>
      </c>
      <c r="C89" s="13" t="s">
        <v>65</v>
      </c>
      <c r="D89" s="13" t="s">
        <v>88</v>
      </c>
      <c r="E89" s="15" t="s">
        <v>152</v>
      </c>
      <c r="F89" s="16" t="s">
        <v>6</v>
      </c>
      <c r="G89" s="13" t="s">
        <v>90</v>
      </c>
      <c r="H89" s="17" t="n">
        <v>6.5</v>
      </c>
      <c r="I89" s="13" t="s">
        <v>54</v>
      </c>
      <c r="J89" s="13" t="s">
        <v>138</v>
      </c>
      <c r="K89" s="15" t="s">
        <v>26</v>
      </c>
      <c r="L89" s="15" t="s">
        <v>153</v>
      </c>
      <c r="M89" s="18" t="s">
        <v>154</v>
      </c>
    </row>
    <row r="90" customFormat="false" ht="15" hidden="false" customHeight="false" outlineLevel="0" collapsed="false">
      <c r="A90" s="13" t="s">
        <v>66</v>
      </c>
      <c r="B90" s="14" t="s">
        <v>67</v>
      </c>
      <c r="C90" s="13" t="s">
        <v>65</v>
      </c>
      <c r="D90" s="13" t="s">
        <v>97</v>
      </c>
      <c r="E90" s="15" t="s">
        <v>155</v>
      </c>
      <c r="F90" s="16" t="s">
        <v>6</v>
      </c>
      <c r="G90" s="13" t="s">
        <v>156</v>
      </c>
      <c r="H90" s="17" t="n">
        <v>7.25</v>
      </c>
      <c r="I90" s="13" t="s">
        <v>54</v>
      </c>
      <c r="J90" s="13" t="s">
        <v>138</v>
      </c>
      <c r="K90" s="15" t="s">
        <v>26</v>
      </c>
      <c r="L90" s="15" t="s">
        <v>157</v>
      </c>
      <c r="M90" s="18"/>
    </row>
    <row r="91" customFormat="false" ht="15" hidden="false" customHeight="false" outlineLevel="0" collapsed="false">
      <c r="A91" s="13" t="s">
        <v>66</v>
      </c>
      <c r="B91" s="14" t="s">
        <v>67</v>
      </c>
      <c r="C91" s="13" t="s">
        <v>65</v>
      </c>
      <c r="D91" s="13" t="s">
        <v>97</v>
      </c>
      <c r="E91" s="15" t="s">
        <v>160</v>
      </c>
      <c r="F91" s="16" t="s">
        <v>6</v>
      </c>
      <c r="G91" s="13" t="s">
        <v>156</v>
      </c>
      <c r="H91" s="17" t="n">
        <v>6.5</v>
      </c>
      <c r="I91" s="13" t="s">
        <v>54</v>
      </c>
      <c r="J91" s="13" t="s">
        <v>138</v>
      </c>
      <c r="K91" s="15" t="s">
        <v>26</v>
      </c>
      <c r="L91" s="15" t="s">
        <v>161</v>
      </c>
      <c r="M91" s="18"/>
    </row>
    <row r="92" customFormat="false" ht="15" hidden="false" customHeight="false" outlineLevel="0" collapsed="false">
      <c r="A92" s="13" t="s">
        <v>68</v>
      </c>
      <c r="B92" s="14" t="s">
        <v>69</v>
      </c>
      <c r="C92" s="13" t="s">
        <v>70</v>
      </c>
      <c r="D92" s="13" t="s">
        <v>88</v>
      </c>
      <c r="E92" s="15" t="s">
        <v>213</v>
      </c>
      <c r="F92" s="16" t="s">
        <v>6</v>
      </c>
      <c r="G92" s="13" t="s">
        <v>156</v>
      </c>
      <c r="H92" s="17" t="n">
        <v>5.12</v>
      </c>
      <c r="I92" s="13" t="s">
        <v>54</v>
      </c>
      <c r="J92" s="13" t="s">
        <v>206</v>
      </c>
      <c r="K92" s="15" t="s">
        <v>41</v>
      </c>
      <c r="L92" s="15" t="s">
        <v>214</v>
      </c>
      <c r="M92" s="18" t="s">
        <v>208</v>
      </c>
    </row>
    <row r="93" customFormat="false" ht="15" hidden="false" customHeight="false" outlineLevel="0" collapsed="false">
      <c r="A93" s="13" t="s">
        <v>68</v>
      </c>
      <c r="B93" s="14" t="s">
        <v>69</v>
      </c>
      <c r="C93" s="13" t="s">
        <v>70</v>
      </c>
      <c r="D93" s="13" t="s">
        <v>97</v>
      </c>
      <c r="E93" s="15" t="s">
        <v>211</v>
      </c>
      <c r="F93" s="16" t="s">
        <v>6</v>
      </c>
      <c r="G93" s="13" t="s">
        <v>156</v>
      </c>
      <c r="H93" s="17" t="n">
        <v>4.37</v>
      </c>
      <c r="I93" s="13" t="s">
        <v>7</v>
      </c>
      <c r="J93" s="13" t="s">
        <v>206</v>
      </c>
      <c r="K93" s="15" t="s">
        <v>41</v>
      </c>
      <c r="L93" s="15" t="s">
        <v>212</v>
      </c>
      <c r="M93" s="18" t="s">
        <v>208</v>
      </c>
    </row>
    <row r="94" customFormat="false" ht="15" hidden="false" customHeight="false" outlineLevel="0" collapsed="false">
      <c r="A94" s="13" t="s">
        <v>68</v>
      </c>
      <c r="B94" s="14" t="s">
        <v>69</v>
      </c>
      <c r="C94" s="13" t="s">
        <v>70</v>
      </c>
      <c r="D94" s="13" t="s">
        <v>97</v>
      </c>
      <c r="E94" s="15" t="s">
        <v>209</v>
      </c>
      <c r="F94" s="16" t="s">
        <v>6</v>
      </c>
      <c r="G94" s="13" t="s">
        <v>156</v>
      </c>
      <c r="H94" s="17" t="n">
        <v>4.37</v>
      </c>
      <c r="I94" s="13" t="s">
        <v>7</v>
      </c>
      <c r="J94" s="13" t="s">
        <v>206</v>
      </c>
      <c r="K94" s="15" t="s">
        <v>41</v>
      </c>
      <c r="L94" s="15" t="s">
        <v>210</v>
      </c>
      <c r="M94" s="18" t="s">
        <v>208</v>
      </c>
    </row>
    <row r="95" customFormat="false" ht="15" hidden="false" customHeight="false" outlineLevel="0" collapsed="false">
      <c r="A95" s="13" t="s">
        <v>71</v>
      </c>
      <c r="B95" s="14" t="s">
        <v>72</v>
      </c>
      <c r="C95" s="13" t="s">
        <v>34</v>
      </c>
      <c r="D95" s="13" t="s">
        <v>103</v>
      </c>
      <c r="E95" s="15" t="s">
        <v>117</v>
      </c>
      <c r="F95" s="19" t="s">
        <v>7</v>
      </c>
      <c r="G95" s="13" t="s">
        <v>90</v>
      </c>
      <c r="H95" s="17" t="n">
        <v>6</v>
      </c>
      <c r="I95" s="13" t="s">
        <v>54</v>
      </c>
      <c r="J95" s="13" t="s">
        <v>182</v>
      </c>
      <c r="K95" s="15" t="s">
        <v>35</v>
      </c>
      <c r="L95" s="15" t="s">
        <v>189</v>
      </c>
      <c r="M95" s="18" t="s">
        <v>190</v>
      </c>
    </row>
    <row r="96" customFormat="false" ht="15" hidden="false" customHeight="false" outlineLevel="0" collapsed="false">
      <c r="A96" s="13" t="s">
        <v>71</v>
      </c>
      <c r="B96" s="14" t="s">
        <v>72</v>
      </c>
      <c r="C96" s="13" t="s">
        <v>34</v>
      </c>
      <c r="D96" s="13" t="s">
        <v>88</v>
      </c>
      <c r="E96" s="15" t="s">
        <v>117</v>
      </c>
      <c r="F96" s="19" t="s">
        <v>7</v>
      </c>
      <c r="G96" s="13" t="s">
        <v>90</v>
      </c>
      <c r="H96" s="17" t="n">
        <v>6</v>
      </c>
      <c r="I96" s="13" t="s">
        <v>54</v>
      </c>
      <c r="J96" s="13" t="s">
        <v>182</v>
      </c>
      <c r="K96" s="15" t="s">
        <v>35</v>
      </c>
      <c r="L96" s="15" t="s">
        <v>191</v>
      </c>
      <c r="M96" s="18" t="s">
        <v>192</v>
      </c>
    </row>
    <row r="97" customFormat="false" ht="15" hidden="false" customHeight="false" outlineLevel="0" collapsed="false">
      <c r="A97" s="13" t="s">
        <v>71</v>
      </c>
      <c r="B97" s="14" t="s">
        <v>72</v>
      </c>
      <c r="C97" s="13" t="s">
        <v>34</v>
      </c>
      <c r="D97" s="13" t="s">
        <v>97</v>
      </c>
      <c r="E97" s="15" t="s">
        <v>181</v>
      </c>
      <c r="F97" s="16" t="s">
        <v>6</v>
      </c>
      <c r="G97" s="13" t="s">
        <v>90</v>
      </c>
      <c r="H97" s="17" t="n">
        <v>7.38</v>
      </c>
      <c r="I97" s="13" t="s">
        <v>54</v>
      </c>
      <c r="J97" s="13" t="s">
        <v>182</v>
      </c>
      <c r="K97" s="15" t="s">
        <v>35</v>
      </c>
      <c r="L97" s="15" t="s">
        <v>183</v>
      </c>
      <c r="M97" s="18" t="s">
        <v>184</v>
      </c>
    </row>
  </sheetData>
  <autoFilter ref="A4:M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6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12" t="s">
        <v>229</v>
      </c>
    </row>
    <row r="4" customFormat="false" ht="30" hidden="false" customHeight="true" outlineLevel="0" collapsed="false">
      <c r="A4" s="3" t="s">
        <v>86</v>
      </c>
      <c r="B4" s="3" t="s">
        <v>230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87</v>
      </c>
      <c r="J4" s="3" t="s">
        <v>231</v>
      </c>
    </row>
    <row r="5" customFormat="false" ht="15" hidden="false" customHeight="false" outlineLevel="0" collapsed="false">
      <c r="A5" s="15" t="s">
        <v>92</v>
      </c>
      <c r="B5" s="15" t="s">
        <v>89</v>
      </c>
      <c r="C5" s="16" t="s">
        <v>6</v>
      </c>
      <c r="D5" s="13" t="s">
        <v>90</v>
      </c>
      <c r="E5" s="17" t="n">
        <v>7.75</v>
      </c>
      <c r="F5" s="13" t="s">
        <v>15</v>
      </c>
      <c r="G5" s="13" t="s">
        <v>91</v>
      </c>
      <c r="H5" s="15" t="s">
        <v>16</v>
      </c>
      <c r="I5" s="18" t="s">
        <v>93</v>
      </c>
      <c r="J5" s="6" t="n">
        <f aca="false">COUNTIF(Traceability!$L:$L,$A5)</f>
        <v>2</v>
      </c>
    </row>
    <row r="6" customFormat="false" ht="15" hidden="false" customHeight="false" outlineLevel="0" collapsed="false">
      <c r="A6" s="15" t="s">
        <v>95</v>
      </c>
      <c r="B6" s="15" t="s">
        <v>94</v>
      </c>
      <c r="C6" s="16" t="s">
        <v>6</v>
      </c>
      <c r="D6" s="13" t="s">
        <v>90</v>
      </c>
      <c r="E6" s="17" t="n">
        <v>7.12</v>
      </c>
      <c r="F6" s="13" t="s">
        <v>54</v>
      </c>
      <c r="G6" s="13" t="s">
        <v>91</v>
      </c>
      <c r="H6" s="15" t="s">
        <v>16</v>
      </c>
      <c r="I6" s="18" t="s">
        <v>96</v>
      </c>
      <c r="J6" s="6" t="n">
        <f aca="false">COUNTIF(Traceability!$L:$L,$A6)</f>
        <v>1</v>
      </c>
    </row>
    <row r="7" customFormat="false" ht="15" hidden="false" customHeight="false" outlineLevel="0" collapsed="false">
      <c r="A7" s="15" t="s">
        <v>99</v>
      </c>
      <c r="B7" s="15" t="s">
        <v>98</v>
      </c>
      <c r="C7" s="16" t="s">
        <v>6</v>
      </c>
      <c r="D7" s="13" t="s">
        <v>90</v>
      </c>
      <c r="E7" s="17" t="n">
        <v>6.12</v>
      </c>
      <c r="F7" s="13" t="s">
        <v>54</v>
      </c>
      <c r="G7" s="13" t="s">
        <v>91</v>
      </c>
      <c r="H7" s="15" t="s">
        <v>16</v>
      </c>
      <c r="I7" s="18" t="s">
        <v>100</v>
      </c>
      <c r="J7" s="6" t="n">
        <f aca="false">COUNTIF(Traceability!$L:$L,$A7)</f>
        <v>2</v>
      </c>
    </row>
    <row r="8" customFormat="false" ht="15" hidden="false" customHeight="false" outlineLevel="0" collapsed="false">
      <c r="A8" s="15" t="s">
        <v>102</v>
      </c>
      <c r="B8" s="15" t="s">
        <v>101</v>
      </c>
      <c r="C8" s="19" t="s">
        <v>7</v>
      </c>
      <c r="D8" s="13" t="s">
        <v>90</v>
      </c>
      <c r="E8" s="17" t="n">
        <v>4.75</v>
      </c>
      <c r="F8" s="13" t="s">
        <v>7</v>
      </c>
      <c r="G8" s="13" t="s">
        <v>91</v>
      </c>
      <c r="H8" s="15" t="s">
        <v>16</v>
      </c>
      <c r="I8" s="18" t="s">
        <v>100</v>
      </c>
      <c r="J8" s="6" t="n">
        <f aca="false">COUNTIF(Traceability!$L:$L,$A8)</f>
        <v>3</v>
      </c>
    </row>
    <row r="9" customFormat="false" ht="15" hidden="false" customHeight="false" outlineLevel="0" collapsed="false">
      <c r="A9" s="15" t="s">
        <v>105</v>
      </c>
      <c r="B9" s="15" t="s">
        <v>104</v>
      </c>
      <c r="C9" s="19" t="s">
        <v>7</v>
      </c>
      <c r="D9" s="13" t="s">
        <v>90</v>
      </c>
      <c r="E9" s="17" t="n">
        <v>7.75</v>
      </c>
      <c r="F9" s="13" t="s">
        <v>15</v>
      </c>
      <c r="G9" s="13" t="s">
        <v>91</v>
      </c>
      <c r="H9" s="15" t="s">
        <v>16</v>
      </c>
      <c r="I9" s="18" t="s">
        <v>106</v>
      </c>
      <c r="J9" s="6" t="n">
        <f aca="false">COUNTIF(Traceability!$L:$L,$A9)</f>
        <v>2</v>
      </c>
    </row>
    <row r="10" customFormat="false" ht="22.35" hidden="false" customHeight="false" outlineLevel="0" collapsed="false">
      <c r="A10" s="15" t="s">
        <v>109</v>
      </c>
      <c r="B10" s="15" t="s">
        <v>107</v>
      </c>
      <c r="C10" s="16" t="s">
        <v>6</v>
      </c>
      <c r="D10" s="13" t="s">
        <v>90</v>
      </c>
      <c r="E10" s="17" t="n">
        <v>7.12</v>
      </c>
      <c r="F10" s="13" t="s">
        <v>54</v>
      </c>
      <c r="G10" s="13" t="s">
        <v>108</v>
      </c>
      <c r="H10" s="15" t="s">
        <v>20</v>
      </c>
      <c r="I10" s="18" t="s">
        <v>110</v>
      </c>
      <c r="J10" s="6" t="n">
        <f aca="false">COUNTIF(Traceability!$L:$L,$A10)</f>
        <v>2</v>
      </c>
    </row>
    <row r="11" customFormat="false" ht="15" hidden="false" customHeight="false" outlineLevel="0" collapsed="false">
      <c r="A11" s="15" t="s">
        <v>112</v>
      </c>
      <c r="B11" s="15" t="s">
        <v>111</v>
      </c>
      <c r="C11" s="16" t="s">
        <v>6</v>
      </c>
      <c r="D11" s="13" t="s">
        <v>90</v>
      </c>
      <c r="E11" s="17" t="n">
        <v>7.12</v>
      </c>
      <c r="F11" s="13" t="s">
        <v>54</v>
      </c>
      <c r="G11" s="13" t="s">
        <v>108</v>
      </c>
      <c r="H11" s="15" t="s">
        <v>20</v>
      </c>
      <c r="I11" s="18" t="s">
        <v>113</v>
      </c>
      <c r="J11" s="6" t="n">
        <f aca="false">COUNTIF(Traceability!$L:$L,$A11)</f>
        <v>1</v>
      </c>
    </row>
    <row r="12" customFormat="false" ht="22.35" hidden="false" customHeight="false" outlineLevel="0" collapsed="false">
      <c r="A12" s="15" t="s">
        <v>115</v>
      </c>
      <c r="B12" s="15" t="s">
        <v>114</v>
      </c>
      <c r="C12" s="16" t="s">
        <v>6</v>
      </c>
      <c r="D12" s="13" t="s">
        <v>90</v>
      </c>
      <c r="E12" s="17" t="n">
        <v>5.75</v>
      </c>
      <c r="F12" s="13" t="s">
        <v>54</v>
      </c>
      <c r="G12" s="13" t="s">
        <v>108</v>
      </c>
      <c r="H12" s="15" t="s">
        <v>20</v>
      </c>
      <c r="I12" s="18" t="s">
        <v>116</v>
      </c>
      <c r="J12" s="6" t="n">
        <f aca="false">COUNTIF(Traceability!$L:$L,$A12)</f>
        <v>2</v>
      </c>
    </row>
    <row r="13" customFormat="false" ht="22.35" hidden="false" customHeight="false" outlineLevel="0" collapsed="false">
      <c r="A13" s="15" t="s">
        <v>118</v>
      </c>
      <c r="B13" s="15" t="s">
        <v>117</v>
      </c>
      <c r="C13" s="19" t="s">
        <v>7</v>
      </c>
      <c r="D13" s="13" t="s">
        <v>90</v>
      </c>
      <c r="E13" s="17" t="n">
        <v>6</v>
      </c>
      <c r="F13" s="13" t="s">
        <v>54</v>
      </c>
      <c r="G13" s="13" t="s">
        <v>108</v>
      </c>
      <c r="H13" s="15" t="s">
        <v>20</v>
      </c>
      <c r="I13" s="18" t="s">
        <v>119</v>
      </c>
      <c r="J13" s="6" t="n">
        <f aca="false">COUNTIF(Traceability!$L:$L,$A13)</f>
        <v>2</v>
      </c>
    </row>
    <row r="14" customFormat="false" ht="22.35" hidden="false" customHeight="false" outlineLevel="0" collapsed="false">
      <c r="A14" s="15" t="s">
        <v>121</v>
      </c>
      <c r="B14" s="15" t="s">
        <v>120</v>
      </c>
      <c r="C14" s="19" t="s">
        <v>7</v>
      </c>
      <c r="D14" s="13" t="s">
        <v>90</v>
      </c>
      <c r="E14" s="17" t="n">
        <v>4.75</v>
      </c>
      <c r="F14" s="13" t="s">
        <v>7</v>
      </c>
      <c r="G14" s="13" t="s">
        <v>108</v>
      </c>
      <c r="H14" s="15" t="s">
        <v>20</v>
      </c>
      <c r="I14" s="18" t="s">
        <v>122</v>
      </c>
      <c r="J14" s="6" t="n">
        <f aca="false">COUNTIF(Traceability!$L:$L,$A14)</f>
        <v>2</v>
      </c>
    </row>
    <row r="15" customFormat="false" ht="22.35" hidden="false" customHeight="false" outlineLevel="0" collapsed="false">
      <c r="A15" s="15" t="s">
        <v>124</v>
      </c>
      <c r="B15" s="15" t="s">
        <v>123</v>
      </c>
      <c r="C15" s="16" t="s">
        <v>6</v>
      </c>
      <c r="D15" s="13" t="s">
        <v>90</v>
      </c>
      <c r="E15" s="17" t="n">
        <v>7.5</v>
      </c>
      <c r="F15" s="13" t="s">
        <v>54</v>
      </c>
      <c r="G15" s="13" t="s">
        <v>108</v>
      </c>
      <c r="H15" s="15" t="s">
        <v>20</v>
      </c>
      <c r="I15" s="18" t="s">
        <v>110</v>
      </c>
      <c r="J15" s="6" t="n">
        <f aca="false">COUNTIF(Traceability!$L:$L,$A15)</f>
        <v>2</v>
      </c>
    </row>
    <row r="16" customFormat="false" ht="22.35" hidden="false" customHeight="false" outlineLevel="0" collapsed="false">
      <c r="A16" s="15" t="s">
        <v>126</v>
      </c>
      <c r="B16" s="15" t="s">
        <v>125</v>
      </c>
      <c r="C16" s="16" t="s">
        <v>6</v>
      </c>
      <c r="D16" s="13" t="s">
        <v>90</v>
      </c>
      <c r="E16" s="17" t="n">
        <v>6.75</v>
      </c>
      <c r="F16" s="13" t="s">
        <v>54</v>
      </c>
      <c r="G16" s="13" t="s">
        <v>108</v>
      </c>
      <c r="H16" s="15" t="s">
        <v>20</v>
      </c>
      <c r="I16" s="18" t="s">
        <v>127</v>
      </c>
      <c r="J16" s="6" t="n">
        <f aca="false">COUNTIF(Traceability!$L:$L,$A16)</f>
        <v>2</v>
      </c>
    </row>
    <row r="17" customFormat="false" ht="22.35" hidden="false" customHeight="false" outlineLevel="0" collapsed="false">
      <c r="A17" s="15" t="s">
        <v>129</v>
      </c>
      <c r="B17" s="15" t="s">
        <v>128</v>
      </c>
      <c r="C17" s="16" t="s">
        <v>6</v>
      </c>
      <c r="D17" s="13" t="s">
        <v>90</v>
      </c>
      <c r="E17" s="17" t="n">
        <v>7.12</v>
      </c>
      <c r="F17" s="13" t="s">
        <v>54</v>
      </c>
      <c r="G17" s="13" t="s">
        <v>108</v>
      </c>
      <c r="H17" s="15" t="s">
        <v>20</v>
      </c>
      <c r="I17" s="18" t="s">
        <v>130</v>
      </c>
      <c r="J17" s="6" t="n">
        <f aca="false">COUNTIF(Traceability!$L:$L,$A17)</f>
        <v>2</v>
      </c>
    </row>
    <row r="18" customFormat="false" ht="22.35" hidden="false" customHeight="false" outlineLevel="0" collapsed="false">
      <c r="A18" s="15" t="s">
        <v>132</v>
      </c>
      <c r="B18" s="15" t="s">
        <v>131</v>
      </c>
      <c r="C18" s="19" t="s">
        <v>7</v>
      </c>
      <c r="D18" s="13" t="s">
        <v>90</v>
      </c>
      <c r="E18" s="17" t="n">
        <v>5.75</v>
      </c>
      <c r="F18" s="13" t="s">
        <v>54</v>
      </c>
      <c r="G18" s="13" t="s">
        <v>108</v>
      </c>
      <c r="H18" s="15" t="s">
        <v>20</v>
      </c>
      <c r="I18" s="18" t="s">
        <v>133</v>
      </c>
      <c r="J18" s="6" t="n">
        <f aca="false">COUNTIF(Traceability!$L:$L,$A18)</f>
        <v>2</v>
      </c>
    </row>
    <row r="19" customFormat="false" ht="22.35" hidden="false" customHeight="false" outlineLevel="0" collapsed="false">
      <c r="A19" s="15" t="s">
        <v>135</v>
      </c>
      <c r="B19" s="15" t="s">
        <v>134</v>
      </c>
      <c r="C19" s="19" t="s">
        <v>7</v>
      </c>
      <c r="D19" s="13" t="s">
        <v>90</v>
      </c>
      <c r="E19" s="17" t="n">
        <v>5</v>
      </c>
      <c r="F19" s="13" t="s">
        <v>7</v>
      </c>
      <c r="G19" s="13" t="s">
        <v>108</v>
      </c>
      <c r="H19" s="15" t="s">
        <v>20</v>
      </c>
      <c r="I19" s="18" t="s">
        <v>136</v>
      </c>
      <c r="J19" s="6" t="n">
        <f aca="false">COUNTIF(Traceability!$L:$L,$A19)</f>
        <v>2</v>
      </c>
    </row>
    <row r="20" customFormat="false" ht="15" hidden="false" customHeight="false" outlineLevel="0" collapsed="false">
      <c r="A20" s="15" t="s">
        <v>139</v>
      </c>
      <c r="B20" s="15" t="s">
        <v>137</v>
      </c>
      <c r="C20" s="16" t="s">
        <v>6</v>
      </c>
      <c r="D20" s="13" t="s">
        <v>90</v>
      </c>
      <c r="E20" s="17" t="n">
        <v>7.12</v>
      </c>
      <c r="F20" s="13" t="s">
        <v>54</v>
      </c>
      <c r="G20" s="13" t="s">
        <v>138</v>
      </c>
      <c r="H20" s="15" t="s">
        <v>26</v>
      </c>
      <c r="I20" s="18" t="s">
        <v>140</v>
      </c>
      <c r="J20" s="6" t="n">
        <f aca="false">COUNTIF(Traceability!$L:$L,$A20)</f>
        <v>1</v>
      </c>
    </row>
    <row r="21" customFormat="false" ht="15" hidden="false" customHeight="false" outlineLevel="0" collapsed="false">
      <c r="A21" s="15" t="s">
        <v>142</v>
      </c>
      <c r="B21" s="15" t="s">
        <v>141</v>
      </c>
      <c r="C21" s="16" t="s">
        <v>6</v>
      </c>
      <c r="D21" s="13" t="s">
        <v>90</v>
      </c>
      <c r="E21" s="17" t="n">
        <v>4.37</v>
      </c>
      <c r="F21" s="13" t="s">
        <v>7</v>
      </c>
      <c r="G21" s="13" t="s">
        <v>138</v>
      </c>
      <c r="H21" s="15" t="s">
        <v>26</v>
      </c>
      <c r="I21" s="18" t="s">
        <v>143</v>
      </c>
      <c r="J21" s="6" t="n">
        <f aca="false">COUNTIF(Traceability!$L:$L,$A21)</f>
        <v>2</v>
      </c>
    </row>
    <row r="22" customFormat="false" ht="15" hidden="false" customHeight="false" outlineLevel="0" collapsed="false">
      <c r="A22" s="15" t="s">
        <v>145</v>
      </c>
      <c r="B22" s="15" t="s">
        <v>144</v>
      </c>
      <c r="C22" s="19" t="s">
        <v>7</v>
      </c>
      <c r="D22" s="13" t="s">
        <v>90</v>
      </c>
      <c r="E22" s="17" t="n">
        <v>5.75</v>
      </c>
      <c r="F22" s="13" t="s">
        <v>54</v>
      </c>
      <c r="G22" s="13" t="s">
        <v>138</v>
      </c>
      <c r="H22" s="15" t="s">
        <v>26</v>
      </c>
      <c r="I22" s="18" t="s">
        <v>143</v>
      </c>
      <c r="J22" s="6" t="n">
        <f aca="false">COUNTIF(Traceability!$L:$L,$A22)</f>
        <v>2</v>
      </c>
    </row>
    <row r="23" customFormat="false" ht="15" hidden="false" customHeight="false" outlineLevel="0" collapsed="false">
      <c r="A23" s="15" t="s">
        <v>147</v>
      </c>
      <c r="B23" s="15" t="s">
        <v>146</v>
      </c>
      <c r="C23" s="19" t="s">
        <v>7</v>
      </c>
      <c r="D23" s="13" t="s">
        <v>90</v>
      </c>
      <c r="E23" s="17" t="n">
        <v>4.75</v>
      </c>
      <c r="F23" s="13" t="s">
        <v>7</v>
      </c>
      <c r="G23" s="13" t="s">
        <v>138</v>
      </c>
      <c r="H23" s="15" t="s">
        <v>26</v>
      </c>
      <c r="I23" s="18" t="s">
        <v>148</v>
      </c>
      <c r="J23" s="6" t="n">
        <f aca="false">COUNTIF(Traceability!$L:$L,$A23)</f>
        <v>2</v>
      </c>
    </row>
    <row r="24" customFormat="false" ht="15" hidden="false" customHeight="false" outlineLevel="0" collapsed="false">
      <c r="A24" s="15" t="s">
        <v>150</v>
      </c>
      <c r="B24" s="15" t="s">
        <v>149</v>
      </c>
      <c r="C24" s="19" t="s">
        <v>7</v>
      </c>
      <c r="D24" s="13" t="s">
        <v>90</v>
      </c>
      <c r="E24" s="17" t="n">
        <v>5.25</v>
      </c>
      <c r="F24" s="13" t="s">
        <v>54</v>
      </c>
      <c r="G24" s="13" t="s">
        <v>138</v>
      </c>
      <c r="H24" s="15" t="s">
        <v>26</v>
      </c>
      <c r="I24" s="18" t="s">
        <v>151</v>
      </c>
      <c r="J24" s="6" t="n">
        <f aca="false">COUNTIF(Traceability!$L:$L,$A24)</f>
        <v>3</v>
      </c>
    </row>
    <row r="25" customFormat="false" ht="15" hidden="false" customHeight="false" outlineLevel="0" collapsed="false">
      <c r="A25" s="15" t="s">
        <v>153</v>
      </c>
      <c r="B25" s="15" t="s">
        <v>152</v>
      </c>
      <c r="C25" s="16" t="s">
        <v>6</v>
      </c>
      <c r="D25" s="13" t="s">
        <v>90</v>
      </c>
      <c r="E25" s="17" t="n">
        <v>6.5</v>
      </c>
      <c r="F25" s="13" t="s">
        <v>54</v>
      </c>
      <c r="G25" s="13" t="s">
        <v>138</v>
      </c>
      <c r="H25" s="15" t="s">
        <v>26</v>
      </c>
      <c r="I25" s="18" t="s">
        <v>154</v>
      </c>
      <c r="J25" s="6" t="n">
        <f aca="false">COUNTIF(Traceability!$L:$L,$A25)</f>
        <v>2</v>
      </c>
    </row>
    <row r="26" customFormat="false" ht="15" hidden="false" customHeight="false" outlineLevel="0" collapsed="false">
      <c r="A26" s="15" t="s">
        <v>157</v>
      </c>
      <c r="B26" s="15" t="s">
        <v>155</v>
      </c>
      <c r="C26" s="16" t="s">
        <v>6</v>
      </c>
      <c r="D26" s="13" t="s">
        <v>156</v>
      </c>
      <c r="E26" s="17" t="n">
        <v>7.25</v>
      </c>
      <c r="F26" s="13" t="s">
        <v>54</v>
      </c>
      <c r="G26" s="13" t="s">
        <v>138</v>
      </c>
      <c r="H26" s="15" t="s">
        <v>26</v>
      </c>
      <c r="I26" s="18"/>
      <c r="J26" s="6" t="n">
        <f aca="false">COUNTIF(Traceability!$L:$L,$A26)</f>
        <v>2</v>
      </c>
    </row>
    <row r="27" customFormat="false" ht="15" hidden="false" customHeight="false" outlineLevel="0" collapsed="false">
      <c r="A27" s="15" t="s">
        <v>159</v>
      </c>
      <c r="B27" s="15" t="s">
        <v>158</v>
      </c>
      <c r="C27" s="16" t="s">
        <v>6</v>
      </c>
      <c r="D27" s="13" t="s">
        <v>156</v>
      </c>
      <c r="E27" s="17" t="n">
        <v>5.87</v>
      </c>
      <c r="F27" s="13" t="s">
        <v>54</v>
      </c>
      <c r="G27" s="13" t="s">
        <v>138</v>
      </c>
      <c r="H27" s="15" t="s">
        <v>26</v>
      </c>
      <c r="I27" s="18"/>
      <c r="J27" s="6" t="n">
        <f aca="false">COUNTIF(Traceability!$L:$L,$A27)</f>
        <v>2</v>
      </c>
    </row>
    <row r="28" customFormat="false" ht="15" hidden="false" customHeight="false" outlineLevel="0" collapsed="false">
      <c r="A28" s="15" t="s">
        <v>161</v>
      </c>
      <c r="B28" s="15" t="s">
        <v>160</v>
      </c>
      <c r="C28" s="16" t="s">
        <v>6</v>
      </c>
      <c r="D28" s="13" t="s">
        <v>156</v>
      </c>
      <c r="E28" s="17" t="n">
        <v>6.5</v>
      </c>
      <c r="F28" s="13" t="s">
        <v>54</v>
      </c>
      <c r="G28" s="13" t="s">
        <v>138</v>
      </c>
      <c r="H28" s="15" t="s">
        <v>26</v>
      </c>
      <c r="I28" s="18"/>
      <c r="J28" s="6" t="n">
        <f aca="false">COUNTIF(Traceability!$L:$L,$A28)</f>
        <v>3</v>
      </c>
    </row>
    <row r="29" customFormat="false" ht="15" hidden="false" customHeight="false" outlineLevel="0" collapsed="false">
      <c r="A29" s="15" t="s">
        <v>164</v>
      </c>
      <c r="B29" s="15" t="s">
        <v>162</v>
      </c>
      <c r="C29" s="19" t="s">
        <v>7</v>
      </c>
      <c r="D29" s="13" t="s">
        <v>156</v>
      </c>
      <c r="E29" s="17" t="n">
        <v>1.12</v>
      </c>
      <c r="F29" s="13" t="s">
        <v>163</v>
      </c>
      <c r="G29" s="13" t="s">
        <v>138</v>
      </c>
      <c r="H29" s="15" t="s">
        <v>26</v>
      </c>
      <c r="I29" s="18"/>
      <c r="J29" s="6" t="n">
        <f aca="false">COUNTIF(Traceability!$L:$L,$A29)</f>
        <v>2</v>
      </c>
    </row>
    <row r="30" customFormat="false" ht="22.35" hidden="false" customHeight="false" outlineLevel="0" collapsed="false">
      <c r="A30" s="15" t="s">
        <v>167</v>
      </c>
      <c r="B30" s="15" t="s">
        <v>165</v>
      </c>
      <c r="C30" s="20" t="s">
        <v>166</v>
      </c>
      <c r="D30" s="13" t="s">
        <v>90</v>
      </c>
      <c r="E30" s="17" t="n">
        <v>7.12</v>
      </c>
      <c r="F30" s="13" t="s">
        <v>54</v>
      </c>
      <c r="G30" s="13" t="s">
        <v>108</v>
      </c>
      <c r="H30" s="15" t="s">
        <v>20</v>
      </c>
      <c r="I30" s="18" t="s">
        <v>168</v>
      </c>
      <c r="J30" s="6" t="n">
        <f aca="false">COUNTIF(Traceability!$L:$L,$A30)</f>
        <v>1</v>
      </c>
    </row>
    <row r="31" customFormat="false" ht="15" hidden="false" customHeight="false" outlineLevel="0" collapsed="false">
      <c r="A31" s="15" t="s">
        <v>170</v>
      </c>
      <c r="B31" s="15" t="s">
        <v>169</v>
      </c>
      <c r="C31" s="20" t="s">
        <v>166</v>
      </c>
      <c r="D31" s="13" t="s">
        <v>90</v>
      </c>
      <c r="E31" s="17" t="n">
        <v>5.12</v>
      </c>
      <c r="F31" s="13" t="s">
        <v>54</v>
      </c>
      <c r="G31" s="13" t="s">
        <v>108</v>
      </c>
      <c r="H31" s="15" t="s">
        <v>20</v>
      </c>
      <c r="I31" s="18" t="s">
        <v>171</v>
      </c>
      <c r="J31" s="6" t="n">
        <f aca="false">COUNTIF(Traceability!$L:$L,$A31)</f>
        <v>3</v>
      </c>
    </row>
    <row r="32" customFormat="false" ht="15" hidden="false" customHeight="false" outlineLevel="0" collapsed="false">
      <c r="A32" s="15" t="s">
        <v>173</v>
      </c>
      <c r="B32" s="15" t="s">
        <v>172</v>
      </c>
      <c r="C32" s="20" t="s">
        <v>166</v>
      </c>
      <c r="D32" s="13" t="s">
        <v>90</v>
      </c>
      <c r="E32" s="17" t="n">
        <v>5.75</v>
      </c>
      <c r="F32" s="13" t="s">
        <v>54</v>
      </c>
      <c r="G32" s="13" t="s">
        <v>108</v>
      </c>
      <c r="H32" s="15" t="s">
        <v>20</v>
      </c>
      <c r="I32" s="18" t="s">
        <v>174</v>
      </c>
      <c r="J32" s="6" t="n">
        <f aca="false">COUNTIF(Traceability!$L:$L,$A32)</f>
        <v>2</v>
      </c>
    </row>
    <row r="33" customFormat="false" ht="22.35" hidden="false" customHeight="false" outlineLevel="0" collapsed="false">
      <c r="A33" s="15" t="s">
        <v>176</v>
      </c>
      <c r="B33" s="15" t="s">
        <v>175</v>
      </c>
      <c r="C33" s="20" t="s">
        <v>166</v>
      </c>
      <c r="D33" s="13" t="s">
        <v>90</v>
      </c>
      <c r="E33" s="17" t="n">
        <v>4.75</v>
      </c>
      <c r="F33" s="13" t="s">
        <v>7</v>
      </c>
      <c r="G33" s="13" t="s">
        <v>108</v>
      </c>
      <c r="H33" s="15" t="s">
        <v>20</v>
      </c>
      <c r="I33" s="18" t="s">
        <v>177</v>
      </c>
      <c r="J33" s="6" t="n">
        <f aca="false">COUNTIF(Traceability!$L:$L,$A33)</f>
        <v>3</v>
      </c>
    </row>
    <row r="34" customFormat="false" ht="15" hidden="false" customHeight="false" outlineLevel="0" collapsed="false">
      <c r="A34" s="15" t="s">
        <v>179</v>
      </c>
      <c r="B34" s="15" t="s">
        <v>178</v>
      </c>
      <c r="C34" s="20" t="s">
        <v>166</v>
      </c>
      <c r="D34" s="13" t="s">
        <v>90</v>
      </c>
      <c r="E34" s="17" t="n">
        <v>4.62</v>
      </c>
      <c r="F34" s="13" t="s">
        <v>7</v>
      </c>
      <c r="G34" s="13" t="s">
        <v>108</v>
      </c>
      <c r="H34" s="15" t="s">
        <v>20</v>
      </c>
      <c r="I34" s="18" t="s">
        <v>180</v>
      </c>
      <c r="J34" s="6" t="n">
        <f aca="false">COUNTIF(Traceability!$L:$L,$A34)</f>
        <v>3</v>
      </c>
    </row>
    <row r="35" customFormat="false" ht="15" hidden="false" customHeight="false" outlineLevel="0" collapsed="false">
      <c r="A35" s="15" t="s">
        <v>183</v>
      </c>
      <c r="B35" s="15" t="s">
        <v>181</v>
      </c>
      <c r="C35" s="16" t="s">
        <v>6</v>
      </c>
      <c r="D35" s="13" t="s">
        <v>90</v>
      </c>
      <c r="E35" s="17" t="n">
        <v>7.38</v>
      </c>
      <c r="F35" s="13" t="s">
        <v>54</v>
      </c>
      <c r="G35" s="13" t="s">
        <v>182</v>
      </c>
      <c r="H35" s="15" t="s">
        <v>35</v>
      </c>
      <c r="I35" s="18" t="s">
        <v>184</v>
      </c>
      <c r="J35" s="6" t="n">
        <f aca="false">COUNTIF(Traceability!$L:$L,$A35)</f>
        <v>2</v>
      </c>
    </row>
    <row r="36" customFormat="false" ht="15" hidden="false" customHeight="false" outlineLevel="0" collapsed="false">
      <c r="A36" s="15" t="s">
        <v>185</v>
      </c>
      <c r="B36" s="15" t="s">
        <v>117</v>
      </c>
      <c r="C36" s="19" t="s">
        <v>7</v>
      </c>
      <c r="D36" s="13" t="s">
        <v>90</v>
      </c>
      <c r="E36" s="17" t="n">
        <v>6</v>
      </c>
      <c r="F36" s="13" t="s">
        <v>54</v>
      </c>
      <c r="G36" s="13" t="s">
        <v>182</v>
      </c>
      <c r="H36" s="15" t="s">
        <v>35</v>
      </c>
      <c r="I36" s="18" t="s">
        <v>186</v>
      </c>
      <c r="J36" s="6" t="n">
        <f aca="false">COUNTIF(Traceability!$L:$L,$A36)</f>
        <v>1</v>
      </c>
    </row>
    <row r="37" customFormat="false" ht="15" hidden="false" customHeight="false" outlineLevel="0" collapsed="false">
      <c r="A37" s="15" t="s">
        <v>187</v>
      </c>
      <c r="B37" s="15" t="s">
        <v>117</v>
      </c>
      <c r="C37" s="19" t="s">
        <v>7</v>
      </c>
      <c r="D37" s="13" t="s">
        <v>90</v>
      </c>
      <c r="E37" s="17" t="n">
        <v>6</v>
      </c>
      <c r="F37" s="13" t="s">
        <v>54</v>
      </c>
      <c r="G37" s="13" t="s">
        <v>182</v>
      </c>
      <c r="H37" s="15" t="s">
        <v>35</v>
      </c>
      <c r="I37" s="18" t="s">
        <v>188</v>
      </c>
      <c r="J37" s="6" t="n">
        <f aca="false">COUNTIF(Traceability!$L:$L,$A37)</f>
        <v>1</v>
      </c>
    </row>
    <row r="38" customFormat="false" ht="15" hidden="false" customHeight="false" outlineLevel="0" collapsed="false">
      <c r="A38" s="15" t="s">
        <v>189</v>
      </c>
      <c r="B38" s="15" t="s">
        <v>117</v>
      </c>
      <c r="C38" s="19" t="s">
        <v>7</v>
      </c>
      <c r="D38" s="13" t="s">
        <v>90</v>
      </c>
      <c r="E38" s="17" t="n">
        <v>6</v>
      </c>
      <c r="F38" s="13" t="s">
        <v>54</v>
      </c>
      <c r="G38" s="13" t="s">
        <v>182</v>
      </c>
      <c r="H38" s="15" t="s">
        <v>35</v>
      </c>
      <c r="I38" s="18" t="s">
        <v>190</v>
      </c>
      <c r="J38" s="6" t="n">
        <f aca="false">COUNTIF(Traceability!$L:$L,$A38)</f>
        <v>2</v>
      </c>
    </row>
    <row r="39" customFormat="false" ht="15" hidden="false" customHeight="false" outlineLevel="0" collapsed="false">
      <c r="A39" s="15" t="s">
        <v>191</v>
      </c>
      <c r="B39" s="15" t="s">
        <v>117</v>
      </c>
      <c r="C39" s="19" t="s">
        <v>7</v>
      </c>
      <c r="D39" s="13" t="s">
        <v>90</v>
      </c>
      <c r="E39" s="17" t="n">
        <v>6</v>
      </c>
      <c r="F39" s="13" t="s">
        <v>54</v>
      </c>
      <c r="G39" s="13" t="s">
        <v>182</v>
      </c>
      <c r="H39" s="15" t="s">
        <v>35</v>
      </c>
      <c r="I39" s="18" t="s">
        <v>192</v>
      </c>
      <c r="J39" s="6" t="n">
        <f aca="false">COUNTIF(Traceability!$L:$L,$A39)</f>
        <v>2</v>
      </c>
    </row>
    <row r="40" customFormat="false" ht="15" hidden="false" customHeight="false" outlineLevel="0" collapsed="false">
      <c r="A40" s="15" t="s">
        <v>194</v>
      </c>
      <c r="B40" s="15" t="s">
        <v>193</v>
      </c>
      <c r="C40" s="16" t="s">
        <v>6</v>
      </c>
      <c r="D40" s="13" t="s">
        <v>90</v>
      </c>
      <c r="E40" s="17" t="n">
        <v>6.12</v>
      </c>
      <c r="F40" s="13" t="s">
        <v>54</v>
      </c>
      <c r="G40" s="13" t="s">
        <v>91</v>
      </c>
      <c r="H40" s="15" t="s">
        <v>16</v>
      </c>
      <c r="I40" s="18" t="s">
        <v>195</v>
      </c>
      <c r="J40" s="6" t="n">
        <f aca="false">COUNTIF(Traceability!$L:$L,$A40)</f>
        <v>2</v>
      </c>
    </row>
    <row r="41" customFormat="false" ht="15" hidden="false" customHeight="false" outlineLevel="0" collapsed="false">
      <c r="A41" s="15" t="s">
        <v>196</v>
      </c>
      <c r="B41" s="15" t="s">
        <v>111</v>
      </c>
      <c r="C41" s="16" t="s">
        <v>6</v>
      </c>
      <c r="D41" s="13" t="s">
        <v>90</v>
      </c>
      <c r="E41" s="17" t="n">
        <v>7.12</v>
      </c>
      <c r="F41" s="13" t="s">
        <v>54</v>
      </c>
      <c r="G41" s="13" t="s">
        <v>91</v>
      </c>
      <c r="H41" s="15" t="s">
        <v>16</v>
      </c>
      <c r="I41" s="18" t="s">
        <v>197</v>
      </c>
      <c r="J41" s="6" t="n">
        <f aca="false">COUNTIF(Traceability!$L:$L,$A41)</f>
        <v>2</v>
      </c>
    </row>
    <row r="42" customFormat="false" ht="15" hidden="false" customHeight="false" outlineLevel="0" collapsed="false">
      <c r="A42" s="15" t="s">
        <v>198</v>
      </c>
      <c r="B42" s="15" t="s">
        <v>141</v>
      </c>
      <c r="C42" s="16" t="s">
        <v>6</v>
      </c>
      <c r="D42" s="13" t="s">
        <v>90</v>
      </c>
      <c r="E42" s="17" t="n">
        <v>4.37</v>
      </c>
      <c r="F42" s="13" t="s">
        <v>7</v>
      </c>
      <c r="G42" s="13" t="s">
        <v>91</v>
      </c>
      <c r="H42" s="15" t="s">
        <v>16</v>
      </c>
      <c r="I42" s="18" t="s">
        <v>199</v>
      </c>
      <c r="J42" s="6" t="n">
        <f aca="false">COUNTIF(Traceability!$L:$L,$A42)</f>
        <v>4</v>
      </c>
    </row>
    <row r="43" customFormat="false" ht="15" hidden="false" customHeight="false" outlineLevel="0" collapsed="false">
      <c r="A43" s="15" t="s">
        <v>201</v>
      </c>
      <c r="B43" s="15" t="s">
        <v>200</v>
      </c>
      <c r="C43" s="19" t="s">
        <v>7</v>
      </c>
      <c r="D43" s="13" t="s">
        <v>90</v>
      </c>
      <c r="E43" s="17" t="n">
        <v>4.62</v>
      </c>
      <c r="F43" s="13" t="s">
        <v>7</v>
      </c>
      <c r="G43" s="13" t="s">
        <v>91</v>
      </c>
      <c r="H43" s="15" t="s">
        <v>16</v>
      </c>
      <c r="I43" s="18" t="s">
        <v>202</v>
      </c>
      <c r="J43" s="6" t="n">
        <f aca="false">COUNTIF(Traceability!$L:$L,$A43)</f>
        <v>2</v>
      </c>
    </row>
    <row r="44" customFormat="false" ht="15" hidden="false" customHeight="false" outlineLevel="0" collapsed="false">
      <c r="A44" s="15" t="s">
        <v>203</v>
      </c>
      <c r="B44" s="15" t="s">
        <v>117</v>
      </c>
      <c r="C44" s="19" t="s">
        <v>7</v>
      </c>
      <c r="D44" s="13" t="s">
        <v>90</v>
      </c>
      <c r="E44" s="17" t="n">
        <v>6</v>
      </c>
      <c r="F44" s="13" t="s">
        <v>54</v>
      </c>
      <c r="G44" s="13" t="s">
        <v>91</v>
      </c>
      <c r="H44" s="15" t="s">
        <v>16</v>
      </c>
      <c r="I44" s="18" t="s">
        <v>204</v>
      </c>
      <c r="J44" s="6" t="n">
        <f aca="false">COUNTIF(Traceability!$L:$L,$A44)</f>
        <v>2</v>
      </c>
    </row>
    <row r="45" customFormat="false" ht="15" hidden="false" customHeight="false" outlineLevel="0" collapsed="false">
      <c r="A45" s="15" t="s">
        <v>207</v>
      </c>
      <c r="B45" s="15" t="s">
        <v>205</v>
      </c>
      <c r="C45" s="16" t="s">
        <v>6</v>
      </c>
      <c r="D45" s="13" t="s">
        <v>156</v>
      </c>
      <c r="E45" s="17" t="n">
        <v>6.5</v>
      </c>
      <c r="F45" s="13" t="s">
        <v>54</v>
      </c>
      <c r="G45" s="13" t="s">
        <v>206</v>
      </c>
      <c r="H45" s="15" t="s">
        <v>41</v>
      </c>
      <c r="I45" s="18" t="s">
        <v>208</v>
      </c>
      <c r="J45" s="6" t="n">
        <f aca="false">COUNTIF(Traceability!$L:$L,$A45)</f>
        <v>1</v>
      </c>
    </row>
    <row r="46" customFormat="false" ht="15" hidden="false" customHeight="false" outlineLevel="0" collapsed="false">
      <c r="A46" s="15" t="s">
        <v>210</v>
      </c>
      <c r="B46" s="15" t="s">
        <v>209</v>
      </c>
      <c r="C46" s="16" t="s">
        <v>6</v>
      </c>
      <c r="D46" s="13" t="s">
        <v>156</v>
      </c>
      <c r="E46" s="17" t="n">
        <v>4.37</v>
      </c>
      <c r="F46" s="13" t="s">
        <v>7</v>
      </c>
      <c r="G46" s="13" t="s">
        <v>206</v>
      </c>
      <c r="H46" s="15" t="s">
        <v>41</v>
      </c>
      <c r="I46" s="18" t="s">
        <v>208</v>
      </c>
      <c r="J46" s="6" t="n">
        <f aca="false">COUNTIF(Traceability!$L:$L,$A46)</f>
        <v>2</v>
      </c>
    </row>
    <row r="47" customFormat="false" ht="15" hidden="false" customHeight="false" outlineLevel="0" collapsed="false">
      <c r="A47" s="15" t="s">
        <v>212</v>
      </c>
      <c r="B47" s="15" t="s">
        <v>211</v>
      </c>
      <c r="C47" s="16" t="s">
        <v>6</v>
      </c>
      <c r="D47" s="13" t="s">
        <v>156</v>
      </c>
      <c r="E47" s="17" t="n">
        <v>4.37</v>
      </c>
      <c r="F47" s="13" t="s">
        <v>7</v>
      </c>
      <c r="G47" s="13" t="s">
        <v>206</v>
      </c>
      <c r="H47" s="15" t="s">
        <v>41</v>
      </c>
      <c r="I47" s="18" t="s">
        <v>208</v>
      </c>
      <c r="J47" s="6" t="n">
        <f aca="false">COUNTIF(Traceability!$L:$L,$A47)</f>
        <v>2</v>
      </c>
    </row>
    <row r="48" customFormat="false" ht="15" hidden="false" customHeight="false" outlineLevel="0" collapsed="false">
      <c r="A48" s="15" t="s">
        <v>214</v>
      </c>
      <c r="B48" s="15" t="s">
        <v>213</v>
      </c>
      <c r="C48" s="16" t="s">
        <v>6</v>
      </c>
      <c r="D48" s="13" t="s">
        <v>156</v>
      </c>
      <c r="E48" s="17" t="n">
        <v>5.12</v>
      </c>
      <c r="F48" s="13" t="s">
        <v>54</v>
      </c>
      <c r="G48" s="13" t="s">
        <v>206</v>
      </c>
      <c r="H48" s="15" t="s">
        <v>41</v>
      </c>
      <c r="I48" s="18" t="s">
        <v>208</v>
      </c>
      <c r="J48" s="6" t="n">
        <f aca="false">COUNTIF(Traceability!$L:$L,$A48)</f>
        <v>2</v>
      </c>
    </row>
    <row r="49" customFormat="false" ht="15" hidden="false" customHeight="false" outlineLevel="0" collapsed="false">
      <c r="A49" s="15" t="s">
        <v>216</v>
      </c>
      <c r="B49" s="15" t="s">
        <v>215</v>
      </c>
      <c r="C49" s="16" t="s">
        <v>6</v>
      </c>
      <c r="D49" s="13" t="s">
        <v>156</v>
      </c>
      <c r="E49" s="17" t="n">
        <v>4.37</v>
      </c>
      <c r="F49" s="13" t="s">
        <v>7</v>
      </c>
      <c r="G49" s="13" t="s">
        <v>206</v>
      </c>
      <c r="H49" s="15" t="s">
        <v>41</v>
      </c>
      <c r="I49" s="18" t="s">
        <v>217</v>
      </c>
      <c r="J49" s="6" t="n">
        <f aca="false">COUNTIF(Traceability!$L:$L,$A49)</f>
        <v>1</v>
      </c>
    </row>
    <row r="50" customFormat="false" ht="15" hidden="false" customHeight="false" outlineLevel="0" collapsed="false">
      <c r="A50" s="15" t="s">
        <v>220</v>
      </c>
      <c r="B50" s="15" t="s">
        <v>218</v>
      </c>
      <c r="C50" s="16" t="s">
        <v>6</v>
      </c>
      <c r="D50" s="13" t="s">
        <v>90</v>
      </c>
      <c r="E50" s="17" t="n">
        <v>6.5</v>
      </c>
      <c r="F50" s="13" t="s">
        <v>54</v>
      </c>
      <c r="G50" s="13" t="s">
        <v>219</v>
      </c>
      <c r="H50" s="15" t="s">
        <v>45</v>
      </c>
      <c r="I50" s="18" t="s">
        <v>221</v>
      </c>
      <c r="J50" s="6" t="n">
        <f aca="false">COUNTIF(Traceability!$L:$L,$A50)</f>
        <v>1</v>
      </c>
    </row>
    <row r="51" customFormat="false" ht="15" hidden="false" customHeight="false" outlineLevel="0" collapsed="false">
      <c r="A51" s="15" t="s">
        <v>223</v>
      </c>
      <c r="B51" s="15" t="s">
        <v>222</v>
      </c>
      <c r="C51" s="16" t="s">
        <v>6</v>
      </c>
      <c r="D51" s="13" t="s">
        <v>90</v>
      </c>
      <c r="E51" s="17" t="n">
        <v>6.75</v>
      </c>
      <c r="F51" s="13" t="s">
        <v>54</v>
      </c>
      <c r="G51" s="13" t="s">
        <v>219</v>
      </c>
      <c r="H51" s="15" t="s">
        <v>45</v>
      </c>
      <c r="I51" s="18" t="s">
        <v>224</v>
      </c>
      <c r="J51" s="6" t="n">
        <f aca="false">COUNTIF(Traceability!$L:$L,$A51)</f>
        <v>1</v>
      </c>
    </row>
    <row r="52" customFormat="false" ht="15" hidden="false" customHeight="false" outlineLevel="0" collapsed="false">
      <c r="A52" s="15" t="s">
        <v>226</v>
      </c>
      <c r="B52" s="15" t="s">
        <v>225</v>
      </c>
      <c r="C52" s="19" t="s">
        <v>7</v>
      </c>
      <c r="D52" s="13" t="s">
        <v>90</v>
      </c>
      <c r="E52" s="17" t="n">
        <v>6.12</v>
      </c>
      <c r="F52" s="13" t="s">
        <v>54</v>
      </c>
      <c r="G52" s="13" t="s">
        <v>219</v>
      </c>
      <c r="H52" s="15" t="s">
        <v>45</v>
      </c>
      <c r="I52" s="18" t="s">
        <v>227</v>
      </c>
      <c r="J52" s="6" t="n">
        <f aca="false">COUNTIF(Traceability!$L:$L,$A52)</f>
        <v>1</v>
      </c>
    </row>
    <row r="53" customFormat="false" ht="15" hidden="false" customHeight="false" outlineLevel="0" collapsed="false">
      <c r="A53" s="11" t="s">
        <v>232</v>
      </c>
      <c r="E53" s="11" t="n">
        <f aca="false">COUNTA(A5:A52)</f>
        <v>48</v>
      </c>
      <c r="J53" s="11" t="n">
        <f aca="false">SUM(J5:J52)</f>
        <v>93</v>
      </c>
    </row>
  </sheetData>
  <autoFilter ref="A4:J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12" t="s">
        <v>234</v>
      </c>
    </row>
    <row r="4" customFormat="false" ht="30" hidden="false" customHeight="true" outlineLevel="0" collapsed="false">
      <c r="A4" s="3" t="s">
        <v>84</v>
      </c>
      <c r="B4" s="3" t="s">
        <v>85</v>
      </c>
      <c r="C4" s="3" t="s">
        <v>4</v>
      </c>
      <c r="D4" s="3" t="s">
        <v>235</v>
      </c>
      <c r="E4" s="3" t="s">
        <v>236</v>
      </c>
      <c r="F4" s="3" t="s">
        <v>237</v>
      </c>
    </row>
    <row r="5" customFormat="false" ht="15" hidden="false" customHeight="false" outlineLevel="0" collapsed="false">
      <c r="A5" s="5" t="s">
        <v>91</v>
      </c>
      <c r="B5" s="9" t="s">
        <v>16</v>
      </c>
      <c r="C5" s="5" t="s">
        <v>14</v>
      </c>
      <c r="D5" s="5" t="s">
        <v>238</v>
      </c>
      <c r="E5" s="6" t="n">
        <f aca="false">COUNTIFS(Findings!$G:$G,$A5)</f>
        <v>10</v>
      </c>
      <c r="F5" s="6" t="n">
        <f aca="false">SUMPRODUCT((Traceability!$J$5:$J$97=$A5)/COUNTIFS(Traceability!$J$5:$J$97,Traceability!$J$5:$J$97,Traceability!$A$5:$A$97,Traceability!$A$5:$A$97))</f>
        <v>5</v>
      </c>
    </row>
    <row r="6" customFormat="false" ht="15" hidden="false" customHeight="false" outlineLevel="0" collapsed="false">
      <c r="A6" s="5" t="s">
        <v>108</v>
      </c>
      <c r="B6" s="9" t="s">
        <v>20</v>
      </c>
      <c r="C6" s="5" t="s">
        <v>19</v>
      </c>
      <c r="D6" s="5" t="s">
        <v>239</v>
      </c>
      <c r="E6" s="6" t="n">
        <f aca="false">COUNTIFS(Findings!$G:$G,$A6)</f>
        <v>15</v>
      </c>
      <c r="F6" s="6" t="n">
        <f aca="false">SUMPRODUCT((Traceability!$J$5:$J$97=$A6)/COUNTIFS(Traceability!$J$5:$J$97,Traceability!$J$5:$J$97,Traceability!$A$5:$A$97,Traceability!$A$5:$A$97))</f>
        <v>7</v>
      </c>
    </row>
    <row r="7" customFormat="false" ht="15" hidden="false" customHeight="false" outlineLevel="0" collapsed="false">
      <c r="A7" s="5" t="s">
        <v>138</v>
      </c>
      <c r="B7" s="9" t="s">
        <v>26</v>
      </c>
      <c r="C7" s="5" t="s">
        <v>240</v>
      </c>
      <c r="D7" s="5" t="s">
        <v>241</v>
      </c>
      <c r="E7" s="6" t="n">
        <f aca="false">COUNTIFS(Findings!$G:$G,$A7)</f>
        <v>10</v>
      </c>
      <c r="F7" s="6" t="n">
        <f aca="false">SUMPRODUCT((Traceability!$J$5:$J$97=$A7)/COUNTIFS(Traceability!$J$5:$J$97,Traceability!$J$5:$J$97,Traceability!$A$5:$A$97,Traceability!$A$5:$A$97))</f>
        <v>5</v>
      </c>
    </row>
    <row r="8" customFormat="false" ht="15" hidden="false" customHeight="false" outlineLevel="0" collapsed="false">
      <c r="A8" s="5" t="s">
        <v>182</v>
      </c>
      <c r="B8" s="9" t="s">
        <v>35</v>
      </c>
      <c r="C8" s="5" t="s">
        <v>34</v>
      </c>
      <c r="D8" s="5" t="s">
        <v>242</v>
      </c>
      <c r="E8" s="6" t="n">
        <f aca="false">COUNTIFS(Findings!$G:$G,$A8)</f>
        <v>5</v>
      </c>
      <c r="F8" s="6" t="n">
        <f aca="false">SUMPRODUCT((Traceability!$J$5:$J$97=$A8)/COUNTIFS(Traceability!$J$5:$J$97,Traceability!$J$5:$J$97,Traceability!$A$5:$A$97,Traceability!$A$5:$A$97))</f>
        <v>2</v>
      </c>
    </row>
    <row r="9" customFormat="false" ht="15" hidden="false" customHeight="false" outlineLevel="0" collapsed="false">
      <c r="A9" s="5" t="s">
        <v>206</v>
      </c>
      <c r="B9" s="9" t="s">
        <v>41</v>
      </c>
      <c r="C9" s="5" t="s">
        <v>40</v>
      </c>
      <c r="D9" s="5" t="s">
        <v>243</v>
      </c>
      <c r="E9" s="6" t="n">
        <f aca="false">COUNTIFS(Findings!$G:$G,$A9)</f>
        <v>5</v>
      </c>
      <c r="F9" s="6" t="n">
        <f aca="false">SUMPRODUCT((Traceability!$J$5:$J$97=$A9)/COUNTIFS(Traceability!$J$5:$J$97,Traceability!$J$5:$J$97,Traceability!$A$5:$A$97,Traceability!$A$5:$A$97))</f>
        <v>2</v>
      </c>
    </row>
    <row r="10" customFormat="false" ht="15" hidden="false" customHeight="false" outlineLevel="0" collapsed="false">
      <c r="A10" s="5" t="s">
        <v>219</v>
      </c>
      <c r="B10" s="9" t="s">
        <v>45</v>
      </c>
      <c r="C10" s="5" t="s">
        <v>44</v>
      </c>
      <c r="D10" s="5" t="s">
        <v>244</v>
      </c>
      <c r="E10" s="6" t="n">
        <f aca="false">COUNTIFS(Findings!$G:$G,$A10)</f>
        <v>3</v>
      </c>
      <c r="F10" s="6" t="n">
        <f aca="false">SUMPRODUCT((Traceability!$J$5:$J$97=$A10)/COUNTIFS(Traceability!$J$5:$J$97,Traceability!$J$5:$J$97,Traceability!$A$5:$A$97,Traceability!$A$5:$A$97))</f>
        <v>1</v>
      </c>
    </row>
    <row r="12" customFormat="false" ht="15" hidden="false" customHeight="false" outlineLevel="0" collapsed="false">
      <c r="A12" s="1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246</v>
      </c>
    </row>
    <row r="3" customFormat="false" ht="15" hidden="false" customHeight="false" outlineLevel="0" collapsed="false">
      <c r="A3" s="21"/>
      <c r="B3" s="22"/>
    </row>
    <row r="4" customFormat="false" ht="15" hidden="false" customHeight="false" outlineLevel="0" collapsed="false">
      <c r="A4" s="11" t="s">
        <v>247</v>
      </c>
      <c r="B4" s="22"/>
    </row>
    <row r="5" customFormat="false" ht="15" hidden="false" customHeight="false" outlineLevel="0" collapsed="false">
      <c r="A5" s="11" t="s">
        <v>248</v>
      </c>
      <c r="B5" s="22"/>
    </row>
    <row r="6" customFormat="false" ht="15" hidden="false" customHeight="false" outlineLevel="0" collapsed="false">
      <c r="A6" s="21" t="s">
        <v>249</v>
      </c>
      <c r="B6" s="22" t="s">
        <v>250</v>
      </c>
    </row>
    <row r="7" customFormat="false" ht="15" hidden="false" customHeight="false" outlineLevel="0" collapsed="false">
      <c r="A7" s="21" t="s">
        <v>251</v>
      </c>
      <c r="B7" s="23" t="n">
        <v>0.15</v>
      </c>
    </row>
    <row r="8" customFormat="false" ht="15" hidden="false" customHeight="false" outlineLevel="0" collapsed="false">
      <c r="A8" s="21" t="s">
        <v>252</v>
      </c>
      <c r="B8" s="23" t="n">
        <v>0.3</v>
      </c>
    </row>
    <row r="9" customFormat="false" ht="15" hidden="false" customHeight="false" outlineLevel="0" collapsed="false">
      <c r="A9" s="21" t="s">
        <v>253</v>
      </c>
      <c r="B9" s="23" t="n">
        <v>0.25</v>
      </c>
    </row>
    <row r="10" customFormat="false" ht="15" hidden="false" customHeight="false" outlineLevel="0" collapsed="false">
      <c r="A10" s="21" t="s">
        <v>254</v>
      </c>
      <c r="B10" s="23" t="n">
        <v>0.15</v>
      </c>
    </row>
    <row r="11" customFormat="false" ht="15" hidden="false" customHeight="false" outlineLevel="0" collapsed="false">
      <c r="A11" s="21" t="s">
        <v>255</v>
      </c>
      <c r="B11" s="23" t="n">
        <v>0.15</v>
      </c>
    </row>
    <row r="12" customFormat="false" ht="15" hidden="false" customHeight="false" outlineLevel="0" collapsed="false">
      <c r="A12" s="21"/>
      <c r="B12" s="22"/>
    </row>
    <row r="13" customFormat="false" ht="15" hidden="false" customHeight="false" outlineLevel="0" collapsed="false">
      <c r="A13" s="21" t="s">
        <v>256</v>
      </c>
      <c r="B13" s="22" t="s">
        <v>257</v>
      </c>
    </row>
    <row r="14" customFormat="false" ht="15" hidden="false" customHeight="false" outlineLevel="0" collapsed="false">
      <c r="A14" s="21" t="s">
        <v>9</v>
      </c>
      <c r="B14" s="22" t="s">
        <v>258</v>
      </c>
    </row>
    <row r="15" customFormat="false" ht="15" hidden="false" customHeight="false" outlineLevel="0" collapsed="false">
      <c r="A15" s="21" t="s">
        <v>259</v>
      </c>
      <c r="B15" s="22" t="s">
        <v>260</v>
      </c>
    </row>
    <row r="16" customFormat="false" ht="15" hidden="false" customHeight="false" outlineLevel="0" collapsed="false">
      <c r="A16" s="21"/>
      <c r="B16" s="22"/>
    </row>
    <row r="17" customFormat="false" ht="15" hidden="false" customHeight="false" outlineLevel="0" collapsed="false">
      <c r="A17" s="11" t="s">
        <v>261</v>
      </c>
      <c r="B17" s="22"/>
    </row>
    <row r="18" customFormat="false" ht="15" hidden="false" customHeight="false" outlineLevel="0" collapsed="false">
      <c r="A18" s="21" t="s">
        <v>262</v>
      </c>
      <c r="B18" s="22" t="s">
        <v>263</v>
      </c>
    </row>
    <row r="19" customFormat="false" ht="15" hidden="false" customHeight="false" outlineLevel="0" collapsed="false">
      <c r="A19" s="21" t="s">
        <v>264</v>
      </c>
      <c r="B19" s="22" t="s">
        <v>265</v>
      </c>
    </row>
    <row r="20" customFormat="false" ht="15" hidden="false" customHeight="false" outlineLevel="0" collapsed="false">
      <c r="A20" s="21" t="s">
        <v>266</v>
      </c>
      <c r="B20" s="22" t="s">
        <v>267</v>
      </c>
    </row>
    <row r="21" customFormat="false" ht="23.85" hidden="false" customHeight="false" outlineLevel="0" collapsed="false">
      <c r="A21" s="21" t="s">
        <v>268</v>
      </c>
      <c r="B21" s="22" t="s">
        <v>269</v>
      </c>
    </row>
    <row r="22" customFormat="false" ht="15" hidden="false" customHeight="false" outlineLevel="0" collapsed="false">
      <c r="A22" s="21"/>
      <c r="B22" s="22"/>
    </row>
    <row r="23" customFormat="false" ht="15" hidden="false" customHeight="false" outlineLevel="0" collapsed="false">
      <c r="A23" s="11" t="s">
        <v>270</v>
      </c>
      <c r="B23" s="22"/>
    </row>
    <row r="24" customFormat="false" ht="15" hidden="false" customHeight="false" outlineLevel="0" collapsed="false">
      <c r="A24" s="21" t="s">
        <v>271</v>
      </c>
      <c r="B24" s="22" t="s">
        <v>272</v>
      </c>
    </row>
    <row r="25" customFormat="false" ht="15" hidden="false" customHeight="false" outlineLevel="0" collapsed="false">
      <c r="A25" s="21" t="s">
        <v>273</v>
      </c>
      <c r="B25" s="22" t="s">
        <v>274</v>
      </c>
    </row>
    <row r="26" customFormat="false" ht="15" hidden="false" customHeight="false" outlineLevel="0" collapsed="false">
      <c r="A26" s="21"/>
      <c r="B26" s="22"/>
    </row>
    <row r="27" customFormat="false" ht="15" hidden="false" customHeight="false" outlineLevel="0" collapsed="false">
      <c r="A27" s="11" t="s">
        <v>275</v>
      </c>
      <c r="B27" s="22"/>
    </row>
    <row r="28" customFormat="false" ht="15" hidden="false" customHeight="false" outlineLevel="0" collapsed="false">
      <c r="A28" s="21" t="s">
        <v>276</v>
      </c>
      <c r="B28" s="22" t="s">
        <v>277</v>
      </c>
    </row>
    <row r="29" customFormat="false" ht="23.85" hidden="false" customHeight="false" outlineLevel="0" collapsed="false">
      <c r="A29" s="21" t="s">
        <v>278</v>
      </c>
      <c r="B29" s="22" t="s">
        <v>279</v>
      </c>
    </row>
    <row r="30" customFormat="false" ht="23.85" hidden="false" customHeight="false" outlineLevel="0" collapsed="false">
      <c r="A30" s="21" t="s">
        <v>280</v>
      </c>
      <c r="B30" s="22" t="s">
        <v>281</v>
      </c>
    </row>
    <row r="31" customFormat="false" ht="15" hidden="false" customHeight="false" outlineLevel="0" collapsed="false">
      <c r="A31" s="21" t="s">
        <v>282</v>
      </c>
      <c r="B31" s="22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284</v>
      </c>
    </row>
    <row r="2" customFormat="false" ht="39.75" hidden="false" customHeight="true" outlineLevel="0" collapsed="false">
      <c r="A2" s="2" t="s">
        <v>285</v>
      </c>
      <c r="B2" s="2"/>
      <c r="C2" s="2"/>
      <c r="D2" s="2"/>
      <c r="E2" s="2"/>
    </row>
    <row r="4" customFormat="false" ht="30" hidden="false" customHeight="true" outlineLevel="0" collapsed="false">
      <c r="A4" s="3" t="s">
        <v>286</v>
      </c>
      <c r="B4" s="3" t="s">
        <v>287</v>
      </c>
      <c r="C4" s="3" t="s">
        <v>288</v>
      </c>
      <c r="D4" s="3" t="s">
        <v>289</v>
      </c>
      <c r="E4" s="3" t="s">
        <v>290</v>
      </c>
    </row>
    <row r="5" customFormat="false" ht="15" hidden="false" customHeight="false" outlineLevel="0" collapsed="false">
      <c r="A5" s="13" t="s">
        <v>12</v>
      </c>
      <c r="B5" s="15" t="s">
        <v>98</v>
      </c>
      <c r="C5" s="16" t="s">
        <v>6</v>
      </c>
      <c r="D5" s="18" t="s">
        <v>291</v>
      </c>
      <c r="E5" s="14" t="s">
        <v>292</v>
      </c>
    </row>
    <row r="6" customFormat="false" ht="15" hidden="false" customHeight="false" outlineLevel="0" collapsed="false">
      <c r="A6" s="13" t="s">
        <v>12</v>
      </c>
      <c r="B6" s="15" t="s">
        <v>101</v>
      </c>
      <c r="C6" s="19" t="s">
        <v>7</v>
      </c>
      <c r="D6" s="18" t="s">
        <v>291</v>
      </c>
      <c r="E6" s="14" t="s">
        <v>292</v>
      </c>
    </row>
    <row r="7" customFormat="false" ht="15" hidden="false" customHeight="false" outlineLevel="0" collapsed="false">
      <c r="A7" s="13" t="s">
        <v>17</v>
      </c>
      <c r="B7" s="15" t="s">
        <v>117</v>
      </c>
      <c r="C7" s="19" t="s">
        <v>7</v>
      </c>
      <c r="D7" s="18" t="s">
        <v>293</v>
      </c>
      <c r="E7" s="14" t="s">
        <v>292</v>
      </c>
    </row>
    <row r="8" customFormat="false" ht="15" hidden="false" customHeight="false" outlineLevel="0" collapsed="false">
      <c r="A8" s="13" t="s">
        <v>21</v>
      </c>
      <c r="B8" s="15" t="s">
        <v>123</v>
      </c>
      <c r="C8" s="16" t="s">
        <v>6</v>
      </c>
      <c r="D8" s="18" t="s">
        <v>294</v>
      </c>
      <c r="E8" s="14" t="s">
        <v>292</v>
      </c>
    </row>
    <row r="9" customFormat="false" ht="15" hidden="false" customHeight="false" outlineLevel="0" collapsed="false">
      <c r="A9" s="13" t="s">
        <v>21</v>
      </c>
      <c r="B9" s="15" t="s">
        <v>295</v>
      </c>
      <c r="C9" s="19" t="s">
        <v>7</v>
      </c>
      <c r="D9" s="18" t="s">
        <v>296</v>
      </c>
      <c r="E9" s="14" t="s">
        <v>297</v>
      </c>
    </row>
    <row r="10" customFormat="false" ht="15" hidden="false" customHeight="false" outlineLevel="0" collapsed="false">
      <c r="A10" s="13" t="s">
        <v>23</v>
      </c>
      <c r="B10" s="15" t="s">
        <v>137</v>
      </c>
      <c r="C10" s="16" t="s">
        <v>6</v>
      </c>
      <c r="D10" s="18" t="s">
        <v>298</v>
      </c>
      <c r="E10" s="14" t="s">
        <v>292</v>
      </c>
    </row>
    <row r="11" customFormat="false" ht="15" hidden="false" customHeight="false" outlineLevel="0" collapsed="false">
      <c r="A11" s="13" t="s">
        <v>23</v>
      </c>
      <c r="B11" s="15" t="s">
        <v>149</v>
      </c>
      <c r="C11" s="19" t="s">
        <v>7</v>
      </c>
      <c r="D11" s="18" t="s">
        <v>299</v>
      </c>
      <c r="E11" s="14" t="s">
        <v>292</v>
      </c>
    </row>
    <row r="12" customFormat="false" ht="15" hidden="false" customHeight="false" outlineLevel="0" collapsed="false">
      <c r="A12" s="13" t="s">
        <v>27</v>
      </c>
      <c r="B12" s="15" t="s">
        <v>152</v>
      </c>
      <c r="C12" s="16" t="s">
        <v>6</v>
      </c>
      <c r="D12" s="18" t="s">
        <v>300</v>
      </c>
      <c r="E12" s="14" t="s">
        <v>292</v>
      </c>
    </row>
    <row r="13" customFormat="false" ht="15" hidden="false" customHeight="false" outlineLevel="0" collapsed="false">
      <c r="A13" s="13" t="s">
        <v>42</v>
      </c>
      <c r="B13" s="15" t="s">
        <v>222</v>
      </c>
      <c r="C13" s="16" t="s">
        <v>6</v>
      </c>
      <c r="D13" s="18" t="s">
        <v>301</v>
      </c>
      <c r="E13" s="14" t="s">
        <v>292</v>
      </c>
    </row>
    <row r="15" customFormat="false" ht="23.85" hidden="false" customHeight="false" outlineLevel="0" collapsed="false">
      <c r="A15" s="11" t="s">
        <v>302</v>
      </c>
      <c r="B15" s="22" t="s">
        <v>303</v>
      </c>
    </row>
    <row r="16" customFormat="false" ht="46.25" hidden="false" customHeight="false" outlineLevel="0" collapsed="false">
      <c r="A16" s="11" t="s">
        <v>304</v>
      </c>
      <c r="B16" s="22" t="s">
        <v>305</v>
      </c>
    </row>
    <row r="17" customFormat="false" ht="35.05" hidden="false" customHeight="false" outlineLevel="0" collapsed="false">
      <c r="A17" s="11" t="s">
        <v>306</v>
      </c>
      <c r="B17" s="22" t="s">
        <v>307</v>
      </c>
    </row>
    <row r="18" customFormat="false" ht="23.85" hidden="false" customHeight="false" outlineLevel="0" collapsed="false">
      <c r="A18" s="11" t="s">
        <v>308</v>
      </c>
      <c r="B18" s="22" t="s">
        <v>309</v>
      </c>
    </row>
    <row r="19" customFormat="false" ht="23.85" hidden="false" customHeight="false" outlineLevel="0" collapsed="false">
      <c r="A19" s="11" t="s">
        <v>310</v>
      </c>
      <c r="B19" s="22" t="s">
        <v>311</v>
      </c>
    </row>
    <row r="20" customFormat="false" ht="15" hidden="false" customHeight="false" outlineLevel="0" collapsed="false">
      <c r="A20" s="11" t="s">
        <v>290</v>
      </c>
      <c r="B20" s="22" t="s">
        <v>312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2026-08-13T03:33:24Z</dcterms:created>
  <dc:creator>openpyxl</dc:creator>
  <dc:description/>
  <dc:language>en-US</dc:language>
  <cp:lastModifiedBy/>
  <dcterms:modified xsi:type="dcterms:W3CDTF">2026-08-13T03:33:24Z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